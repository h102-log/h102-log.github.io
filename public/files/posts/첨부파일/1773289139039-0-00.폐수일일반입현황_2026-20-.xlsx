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>
    <mc:Choice Requires="x15">
      <x15ac:absPath xmlns:x15ac="http://schemas.microsoft.com/office/spreadsheetml/2010/11/ac" url="D:\mes\2026년\00.폐수일일반입현황\"/>
    </mc:Choice>
  </mc:AlternateContent>
  <bookViews>
    <workbookView xWindow="-120" yWindow="-120" windowWidth="29040" windowHeight="15720" tabRatio="601" firstSheet="1" activeTab="3"/>
  </bookViews>
  <sheets>
    <sheet name="양식" sheetId="119" state="hidden" r:id="rId1"/>
    <sheet name="1월" sheetId="118" r:id="rId2"/>
    <sheet name="2월" sheetId="120" r:id="rId3"/>
    <sheet name="3월" sheetId="121" r:id="rId4"/>
    <sheet name="2026년 폐수반입현황" sheetId="83" r:id="rId5"/>
    <sheet name="20~ 반입현황" sheetId="102" r:id="rId6"/>
  </sheets>
  <definedNames>
    <definedName name="_xlnm.Print_Area" localSheetId="1">'1월'!$A$1:$AW$41</definedName>
    <definedName name="_xlnm.Print_Area" localSheetId="2">'2026년 폐수반입현황'!$A$1:$BA$19</definedName>
    <definedName name="_xlnm.Print_Area" localSheetId="0">양식!$A$1:$AW$41</definedName>
  </definedNames>
  <calcPr calcId="0"/>
</workbook>
</file>

<file path=xl/calcChain.xml><?xml version="1.0" encoding="utf-8"?>
<calcChain xmlns="http://schemas.openxmlformats.org/spreadsheetml/2006/main">
  <c r="AW36" i="119" l="1"/>
  <c r="AZ54" i="119" s="1"/>
  <c r="AT36" i="119"/>
  <c r="BB42" i="119" s="1"/>
  <c r="BB45" i="119" s="1"/>
  <c r="AS36" i="119"/>
  <c r="AS38" i="119" s="1"/>
  <c r="AR36" i="119"/>
  <c r="AR38" i="119" s="1"/>
  <c r="AQ36" i="119"/>
  <c r="AQ38" i="119" s="1"/>
  <c r="AP36" i="119"/>
  <c r="AP38" i="119" s="1"/>
  <c r="AO36" i="119"/>
  <c r="AM36" i="119"/>
  <c r="AM38" i="119" s="1"/>
  <c r="AK36" i="119"/>
  <c r="AK38" i="119" s="1"/>
  <c r="AJ36" i="119"/>
  <c r="AJ38" i="119" s="1"/>
  <c r="AI36" i="119"/>
  <c r="AI38" i="119" s="1"/>
  <c r="AH36" i="119"/>
  <c r="AH38" i="119" s="1"/>
  <c r="AG36" i="119"/>
  <c r="AE36" i="119"/>
  <c r="AE38" i="119" s="1"/>
  <c r="AD36" i="119"/>
  <c r="AD38" i="119" s="1"/>
  <c r="AC36" i="119"/>
  <c r="AC38" i="119" s="1"/>
  <c r="AB36" i="119"/>
  <c r="AB38" i="119" s="1"/>
  <c r="AA36" i="119"/>
  <c r="AA38" i="119" s="1"/>
  <c r="Z36" i="119"/>
  <c r="Z38" i="119" s="1"/>
  <c r="Y36" i="119"/>
  <c r="Y38" i="119" s="1"/>
  <c r="X36" i="119"/>
  <c r="X38" i="119" s="1"/>
  <c r="W36" i="119"/>
  <c r="W38" i="119" s="1"/>
  <c r="V36" i="119"/>
  <c r="V38" i="119" s="1"/>
  <c r="U36" i="119"/>
  <c r="U38" i="119" s="1"/>
  <c r="T36" i="119"/>
  <c r="T38" i="119" s="1"/>
  <c r="S36" i="119"/>
  <c r="S38" i="119" s="1"/>
  <c r="R36" i="119"/>
  <c r="R38" i="119" s="1"/>
  <c r="O36" i="119"/>
  <c r="O38" i="119" s="1"/>
  <c r="N36" i="119"/>
  <c r="N38" i="119" s="1"/>
  <c r="M36" i="119"/>
  <c r="M38" i="119" s="1"/>
  <c r="L36" i="119"/>
  <c r="K36" i="119"/>
  <c r="J36" i="119"/>
  <c r="I36" i="119"/>
  <c r="I40" i="119" s="1"/>
  <c r="H36" i="119"/>
  <c r="G36" i="119"/>
  <c r="G38" i="119" s="1"/>
  <c r="F36" i="119"/>
  <c r="F38" i="119" s="1"/>
  <c r="E36" i="119"/>
  <c r="E38" i="119" s="1"/>
  <c r="D36" i="119"/>
  <c r="P36" i="119" s="1"/>
  <c r="C36" i="119"/>
  <c r="C38" i="119" s="1"/>
  <c r="B36" i="119"/>
  <c r="B38" i="119" s="1"/>
  <c r="AL35" i="119"/>
  <c r="AF35" i="119"/>
  <c r="P35" i="119"/>
  <c r="AV35" i="119" s="1"/>
  <c r="AL34" i="119"/>
  <c r="AF34" i="119"/>
  <c r="P34" i="119"/>
  <c r="AL33" i="119"/>
  <c r="AF33" i="119"/>
  <c r="P33" i="119"/>
  <c r="AV33" i="119" s="1"/>
  <c r="AL32" i="119"/>
  <c r="AF32" i="119"/>
  <c r="AV32" i="119" s="1"/>
  <c r="Q32" i="119" s="1"/>
  <c r="P32" i="119"/>
  <c r="AL31" i="119"/>
  <c r="AF31" i="119"/>
  <c r="P31" i="119"/>
  <c r="AL30" i="119"/>
  <c r="AF30" i="119"/>
  <c r="P30" i="119"/>
  <c r="AL29" i="119"/>
  <c r="AF29" i="119"/>
  <c r="P29" i="119"/>
  <c r="AL28" i="119"/>
  <c r="AF28" i="119"/>
  <c r="P28" i="119"/>
  <c r="AL27" i="119"/>
  <c r="AF27" i="119"/>
  <c r="P27" i="119"/>
  <c r="AL26" i="119"/>
  <c r="AF26" i="119"/>
  <c r="AV26" i="119" s="1"/>
  <c r="P26" i="119"/>
  <c r="Q26" i="119" s="1"/>
  <c r="AL25" i="119"/>
  <c r="AF25" i="119"/>
  <c r="P25" i="119"/>
  <c r="AL24" i="119"/>
  <c r="AF24" i="119"/>
  <c r="P24" i="119"/>
  <c r="AV24" i="119" s="1"/>
  <c r="AL23" i="119"/>
  <c r="AF23" i="119"/>
  <c r="P23" i="119"/>
  <c r="AV22" i="119"/>
  <c r="AL22" i="119"/>
  <c r="AF22" i="119"/>
  <c r="P22" i="119"/>
  <c r="AL21" i="119"/>
  <c r="AF21" i="119"/>
  <c r="P21" i="119"/>
  <c r="AL20" i="119"/>
  <c r="AF20" i="119"/>
  <c r="AV20" i="119" s="1"/>
  <c r="Q20" i="119" s="1"/>
  <c r="P20" i="119"/>
  <c r="AL19" i="119"/>
  <c r="AF19" i="119"/>
  <c r="P19" i="119"/>
  <c r="AV19" i="119" s="1"/>
  <c r="AL18" i="119"/>
  <c r="AF18" i="119"/>
  <c r="P18" i="119"/>
  <c r="AV18" i="119" s="1"/>
  <c r="AL17" i="119"/>
  <c r="AF17" i="119"/>
  <c r="AV17" i="119" s="1"/>
  <c r="Q17" i="119" s="1"/>
  <c r="P17" i="119"/>
  <c r="AL16" i="119"/>
  <c r="AF16" i="119"/>
  <c r="P16" i="119"/>
  <c r="AL15" i="119"/>
  <c r="AF15" i="119"/>
  <c r="P15" i="119"/>
  <c r="AL14" i="119"/>
  <c r="AF14" i="119"/>
  <c r="P14" i="119"/>
  <c r="AV14" i="119" s="1"/>
  <c r="AL13" i="119"/>
  <c r="AF13" i="119"/>
  <c r="P13" i="119"/>
  <c r="AL12" i="119"/>
  <c r="AF12" i="119"/>
  <c r="P12" i="119"/>
  <c r="AL11" i="119"/>
  <c r="AF11" i="119"/>
  <c r="P11" i="119"/>
  <c r="AL10" i="119"/>
  <c r="AF10" i="119"/>
  <c r="AV10" i="119" s="1"/>
  <c r="P10" i="119"/>
  <c r="AL9" i="119"/>
  <c r="AF9" i="119"/>
  <c r="P9" i="119"/>
  <c r="AL8" i="119"/>
  <c r="AF8" i="119"/>
  <c r="P8" i="119"/>
  <c r="AL7" i="119"/>
  <c r="AF7" i="119"/>
  <c r="P7" i="119"/>
  <c r="AV7" i="119" s="1"/>
  <c r="AL6" i="119"/>
  <c r="AF6" i="119"/>
  <c r="P6" i="119"/>
  <c r="AL5" i="119"/>
  <c r="AF5" i="119"/>
  <c r="P5" i="119"/>
  <c r="AV15" i="119" l="1"/>
  <c r="AV13" i="119"/>
  <c r="Q13" i="119" s="1"/>
  <c r="AV27" i="119"/>
  <c r="AV6" i="119"/>
  <c r="Q10" i="119"/>
  <c r="AV21" i="119"/>
  <c r="Q21" i="119" s="1"/>
  <c r="AV28" i="119"/>
  <c r="Q14" i="119"/>
  <c r="AV25" i="119"/>
  <c r="Q25" i="119" s="1"/>
  <c r="Q22" i="119"/>
  <c r="AV11" i="119"/>
  <c r="Q11" i="119" s="1"/>
  <c r="AV29" i="119"/>
  <c r="Q29" i="119" s="1"/>
  <c r="AL36" i="119"/>
  <c r="AW37" i="119"/>
  <c r="BA54" i="119" s="1"/>
  <c r="Q15" i="119"/>
  <c r="AV30" i="119"/>
  <c r="AV8" i="119"/>
  <c r="Q8" i="119" s="1"/>
  <c r="AV12" i="119"/>
  <c r="Q12" i="119" s="1"/>
  <c r="AV23" i="119"/>
  <c r="Q23" i="119" s="1"/>
  <c r="AV5" i="119"/>
  <c r="AV36" i="119" s="1"/>
  <c r="AV9" i="119"/>
  <c r="Q9" i="119" s="1"/>
  <c r="AV16" i="119"/>
  <c r="Q16" i="119" s="1"/>
  <c r="Q27" i="119"/>
  <c r="AV31" i="119"/>
  <c r="AV34" i="119"/>
  <c r="Q34" i="119" s="1"/>
  <c r="AT38" i="119"/>
  <c r="L40" i="119"/>
  <c r="K40" i="119"/>
  <c r="H40" i="119"/>
  <c r="J40" i="119"/>
  <c r="P38" i="119"/>
  <c r="B40" i="119"/>
  <c r="G40" i="119"/>
  <c r="C40" i="119"/>
  <c r="Q5" i="119"/>
  <c r="Q36" i="119" s="1"/>
  <c r="Q38" i="119" s="1"/>
  <c r="H38" i="119"/>
  <c r="Q18" i="119"/>
  <c r="I38" i="119"/>
  <c r="AG38" i="119"/>
  <c r="AL38" i="119" s="1"/>
  <c r="J38" i="119"/>
  <c r="Q28" i="119"/>
  <c r="K38" i="119"/>
  <c r="D40" i="119"/>
  <c r="D41" i="119" s="1"/>
  <c r="Q6" i="119"/>
  <c r="Q30" i="119"/>
  <c r="Q35" i="119"/>
  <c r="Q33" i="119"/>
  <c r="L38" i="119"/>
  <c r="E40" i="119"/>
  <c r="F40" i="119"/>
  <c r="Q7" i="119"/>
  <c r="Q19" i="119"/>
  <c r="Q31" i="119"/>
  <c r="Q24" i="119"/>
  <c r="AF36" i="119"/>
  <c r="D38" i="119"/>
  <c r="P35" i="118"/>
  <c r="J35" i="102"/>
  <c r="R7" i="102"/>
  <c r="J5" i="102"/>
  <c r="J6" i="102"/>
  <c r="J7" i="102"/>
  <c r="J8" i="102"/>
  <c r="J9" i="102"/>
  <c r="J10" i="102"/>
  <c r="J11" i="102"/>
  <c r="J12" i="102"/>
  <c r="J13" i="102"/>
  <c r="J16" i="102"/>
  <c r="J17" i="102"/>
  <c r="J18" i="102"/>
  <c r="J19" i="102"/>
  <c r="J20" i="102"/>
  <c r="J21" i="102"/>
  <c r="J22" i="102"/>
  <c r="J23" i="102"/>
  <c r="J26" i="102"/>
  <c r="J27" i="102"/>
  <c r="J28" i="102"/>
  <c r="J29" i="102"/>
  <c r="J30" i="102"/>
  <c r="J31" i="102"/>
  <c r="J32" i="102"/>
  <c r="J4" i="102"/>
  <c r="I33" i="102"/>
  <c r="P40" i="119" l="1"/>
  <c r="B41" i="119"/>
  <c r="P41" i="119" s="1"/>
  <c r="AF38" i="119"/>
  <c r="BA42" i="119"/>
  <c r="BB54" i="119"/>
  <c r="AV37" i="119"/>
  <c r="BC54" i="119" s="1"/>
  <c r="I34" i="102"/>
  <c r="I24" i="102"/>
  <c r="I25" i="102" s="1"/>
  <c r="I14" i="102"/>
  <c r="I15" i="102" s="1"/>
  <c r="AW36" i="118"/>
  <c r="AZ54" i="118" s="1"/>
  <c r="AT36" i="118"/>
  <c r="AS36" i="118"/>
  <c r="AS38" i="118" s="1"/>
  <c r="AR36" i="118"/>
  <c r="AR38" i="118" s="1"/>
  <c r="AQ36" i="118"/>
  <c r="AQ38" i="118" s="1"/>
  <c r="AP36" i="118"/>
  <c r="AP38" i="118" s="1"/>
  <c r="AO36" i="118"/>
  <c r="AM36" i="118"/>
  <c r="AM38" i="118" s="1"/>
  <c r="AK36" i="118"/>
  <c r="AJ36" i="118"/>
  <c r="AI36" i="118"/>
  <c r="AH36" i="118"/>
  <c r="AG36" i="118"/>
  <c r="AG38" i="118" s="1"/>
  <c r="AE36" i="118"/>
  <c r="AE38" i="118" s="1"/>
  <c r="AD36" i="118"/>
  <c r="AD38" i="118" s="1"/>
  <c r="AC36" i="118"/>
  <c r="AC38" i="118" s="1"/>
  <c r="AB36" i="118"/>
  <c r="AB38" i="118" s="1"/>
  <c r="AA36" i="118"/>
  <c r="Z36" i="118"/>
  <c r="Y36" i="118"/>
  <c r="X36" i="118"/>
  <c r="W36" i="118"/>
  <c r="V36" i="118"/>
  <c r="U36" i="118"/>
  <c r="T36" i="118"/>
  <c r="S36" i="118"/>
  <c r="R36" i="118"/>
  <c r="O36" i="118"/>
  <c r="O38" i="118" s="1"/>
  <c r="N36" i="118"/>
  <c r="N38" i="118" s="1"/>
  <c r="M36" i="118"/>
  <c r="M38" i="118" s="1"/>
  <c r="L36" i="118"/>
  <c r="K36" i="118"/>
  <c r="J36" i="118"/>
  <c r="J38" i="118" s="1"/>
  <c r="I36" i="118"/>
  <c r="I40" i="118" s="1"/>
  <c r="H36" i="118"/>
  <c r="G36" i="118"/>
  <c r="G38" i="118" s="1"/>
  <c r="F36" i="118"/>
  <c r="E36" i="118"/>
  <c r="E38" i="118" s="1"/>
  <c r="D36" i="118"/>
  <c r="D38" i="118" s="1"/>
  <c r="C36" i="118"/>
  <c r="C38" i="118" s="1"/>
  <c r="B36" i="118"/>
  <c r="AL35" i="118"/>
  <c r="AF35" i="118"/>
  <c r="AL34" i="118"/>
  <c r="AF34" i="118"/>
  <c r="P34" i="118"/>
  <c r="AL33" i="118"/>
  <c r="AF33" i="118"/>
  <c r="P33" i="118"/>
  <c r="AL32" i="118"/>
  <c r="AF32" i="118"/>
  <c r="P32" i="118"/>
  <c r="AL31" i="118"/>
  <c r="AF31" i="118"/>
  <c r="P31" i="118"/>
  <c r="AL30" i="118"/>
  <c r="AF30" i="118"/>
  <c r="P30" i="118"/>
  <c r="AL29" i="118"/>
  <c r="AF29" i="118"/>
  <c r="P29" i="118"/>
  <c r="AL28" i="118"/>
  <c r="AF28" i="118"/>
  <c r="P28" i="118"/>
  <c r="AL27" i="118"/>
  <c r="AF27" i="118"/>
  <c r="P27" i="118"/>
  <c r="AL26" i="118"/>
  <c r="AF26" i="118"/>
  <c r="P26" i="118"/>
  <c r="AL25" i="118"/>
  <c r="AF25" i="118"/>
  <c r="P25" i="118"/>
  <c r="AL24" i="118"/>
  <c r="AF24" i="118"/>
  <c r="P24" i="118"/>
  <c r="AL23" i="118"/>
  <c r="AF23" i="118"/>
  <c r="P23" i="118"/>
  <c r="AL22" i="118"/>
  <c r="AF22" i="118"/>
  <c r="P22" i="118"/>
  <c r="AL21" i="118"/>
  <c r="AF21" i="118"/>
  <c r="P21" i="118"/>
  <c r="AL20" i="118"/>
  <c r="AF20" i="118"/>
  <c r="P20" i="118"/>
  <c r="AL19" i="118"/>
  <c r="AF19" i="118"/>
  <c r="P19" i="118"/>
  <c r="AL18" i="118"/>
  <c r="AF18" i="118"/>
  <c r="P18" i="118"/>
  <c r="AL17" i="118"/>
  <c r="AF17" i="118"/>
  <c r="P17" i="118"/>
  <c r="AL16" i="118"/>
  <c r="AF16" i="118"/>
  <c r="P16" i="118"/>
  <c r="AL15" i="118"/>
  <c r="AF15" i="118"/>
  <c r="P15" i="118"/>
  <c r="AL14" i="118"/>
  <c r="AF14" i="118"/>
  <c r="P14" i="118"/>
  <c r="AL13" i="118"/>
  <c r="AF13" i="118"/>
  <c r="P13" i="118"/>
  <c r="AL12" i="118"/>
  <c r="AF12" i="118"/>
  <c r="P12" i="118"/>
  <c r="AL11" i="118"/>
  <c r="AF11" i="118"/>
  <c r="P11" i="118"/>
  <c r="AL10" i="118"/>
  <c r="AF10" i="118"/>
  <c r="P10" i="118"/>
  <c r="AL9" i="118"/>
  <c r="AF9" i="118"/>
  <c r="P9" i="118"/>
  <c r="AL8" i="118"/>
  <c r="AF8" i="118"/>
  <c r="P8" i="118"/>
  <c r="AL7" i="118"/>
  <c r="AF7" i="118"/>
  <c r="P7" i="118"/>
  <c r="AL6" i="118"/>
  <c r="AF6" i="118"/>
  <c r="P6" i="118"/>
  <c r="AL5" i="118"/>
  <c r="AF5" i="118"/>
  <c r="P5" i="118"/>
  <c r="BA46" i="119" l="1"/>
  <c r="BA47" i="119" s="1"/>
  <c r="BA45" i="119"/>
  <c r="AV19" i="118"/>
  <c r="Q19" i="118" s="1"/>
  <c r="AV35" i="118"/>
  <c r="Q35" i="118" s="1"/>
  <c r="AV33" i="118"/>
  <c r="Q33" i="118" s="1"/>
  <c r="AV31" i="118"/>
  <c r="Q31" i="118" s="1"/>
  <c r="AW37" i="118"/>
  <c r="BA54" i="118" s="1"/>
  <c r="AV29" i="118"/>
  <c r="Q29" i="118" s="1"/>
  <c r="AV27" i="118"/>
  <c r="Q27" i="118" s="1"/>
  <c r="AV26" i="118"/>
  <c r="Q26" i="118" s="1"/>
  <c r="AV22" i="118"/>
  <c r="Q22" i="118" s="1"/>
  <c r="AV21" i="118"/>
  <c r="Q21" i="118" s="1"/>
  <c r="AV9" i="118"/>
  <c r="Q9" i="118" s="1"/>
  <c r="AV13" i="118"/>
  <c r="Q13" i="118" s="1"/>
  <c r="BB42" i="118"/>
  <c r="BB45" i="118" s="1"/>
  <c r="AV17" i="118"/>
  <c r="Q17" i="118" s="1"/>
  <c r="AV25" i="118"/>
  <c r="Q25" i="118" s="1"/>
  <c r="R38" i="118"/>
  <c r="AT38" i="118"/>
  <c r="AV16" i="118"/>
  <c r="Q16" i="118" s="1"/>
  <c r="AV20" i="118"/>
  <c r="Q20" i="118" s="1"/>
  <c r="AV32" i="118"/>
  <c r="Q32" i="118" s="1"/>
  <c r="S38" i="118"/>
  <c r="T38" i="118"/>
  <c r="U38" i="118"/>
  <c r="AV24" i="118"/>
  <c r="Q24" i="118" s="1"/>
  <c r="AV28" i="118"/>
  <c r="Q28" i="118" s="1"/>
  <c r="V38" i="118"/>
  <c r="AV14" i="118"/>
  <c r="Q14" i="118" s="1"/>
  <c r="AV18" i="118"/>
  <c r="Q18" i="118" s="1"/>
  <c r="W38" i="118"/>
  <c r="Y38" i="118"/>
  <c r="AV15" i="118"/>
  <c r="Q15" i="118" s="1"/>
  <c r="AJ38" i="118"/>
  <c r="AV12" i="118"/>
  <c r="Q12" i="118" s="1"/>
  <c r="AV30" i="118"/>
  <c r="Q30" i="118" s="1"/>
  <c r="AV23" i="118"/>
  <c r="Q23" i="118" s="1"/>
  <c r="AV34" i="118"/>
  <c r="Q34" i="118" s="1"/>
  <c r="X38" i="118"/>
  <c r="AV6" i="118"/>
  <c r="Q6" i="118" s="1"/>
  <c r="AV11" i="118"/>
  <c r="Q11" i="118" s="1"/>
  <c r="AV10" i="118"/>
  <c r="Q10" i="118" s="1"/>
  <c r="AK38" i="118"/>
  <c r="AH38" i="118"/>
  <c r="AV8" i="118"/>
  <c r="Q8" i="118" s="1"/>
  <c r="AL36" i="118"/>
  <c r="AV5" i="118"/>
  <c r="Q5" i="118" s="1"/>
  <c r="P36" i="118"/>
  <c r="B40" i="118" s="1"/>
  <c r="I38" i="118"/>
  <c r="AI38" i="118"/>
  <c r="F38" i="118"/>
  <c r="H38" i="118"/>
  <c r="K38" i="118"/>
  <c r="L38" i="118"/>
  <c r="Z38" i="118"/>
  <c r="F40" i="118"/>
  <c r="AA38" i="118"/>
  <c r="AV7" i="118"/>
  <c r="B38" i="118"/>
  <c r="AF36" i="118"/>
  <c r="BA42" i="118" s="1"/>
  <c r="AL38" i="118" l="1"/>
  <c r="BA45" i="118"/>
  <c r="BA46" i="118"/>
  <c r="BA47" i="118" s="1"/>
  <c r="AV36" i="118"/>
  <c r="D40" i="118"/>
  <c r="J40" i="118"/>
  <c r="E40" i="118"/>
  <c r="P38" i="118"/>
  <c r="K40" i="118"/>
  <c r="L40" i="118"/>
  <c r="H40" i="118"/>
  <c r="G40" i="118"/>
  <c r="C40" i="118"/>
  <c r="B41" i="118" s="1"/>
  <c r="AF38" i="118"/>
  <c r="Q7" i="118"/>
  <c r="Q36" i="118" s="1"/>
  <c r="BB54" i="118" l="1"/>
  <c r="AV37" i="118"/>
  <c r="BC54" i="118" s="1"/>
  <c r="Q38" i="118"/>
  <c r="D41" i="118"/>
  <c r="P41" i="118" s="1"/>
  <c r="P40" i="118"/>
  <c r="X17" i="83"/>
  <c r="B18" i="83" l="1"/>
  <c r="E27" i="83" l="1"/>
  <c r="C27" i="83"/>
  <c r="F30" i="83" l="1"/>
  <c r="E30" i="83"/>
  <c r="D30" i="83"/>
  <c r="C30" i="83"/>
  <c r="G27" i="83"/>
  <c r="G30" i="83" l="1"/>
  <c r="BA16" i="83" l="1"/>
  <c r="AX16" i="83"/>
  <c r="AZ18" i="83" l="1"/>
  <c r="AY18" i="83"/>
  <c r="AW18" i="83"/>
  <c r="AV18" i="83"/>
  <c r="BA15" i="83" l="1"/>
  <c r="BA14" i="83"/>
  <c r="BA13" i="83"/>
  <c r="BA12" i="83"/>
  <c r="BA11" i="83"/>
  <c r="BA10" i="83"/>
  <c r="BA9" i="83"/>
  <c r="BA8" i="83"/>
  <c r="BA7" i="83"/>
  <c r="BA6" i="83"/>
  <c r="BA5" i="83"/>
  <c r="AY17" i="83"/>
  <c r="AX15" i="83"/>
  <c r="AX14" i="83"/>
  <c r="AX13" i="83"/>
  <c r="AX12" i="83"/>
  <c r="AX11" i="83"/>
  <c r="AX10" i="83"/>
  <c r="AX9" i="83"/>
  <c r="AX8" i="83"/>
  <c r="AX7" i="83"/>
  <c r="AX6" i="83"/>
  <c r="AX5" i="83"/>
  <c r="AV17" i="83"/>
  <c r="BA18" i="83" l="1"/>
  <c r="AX18" i="83"/>
  <c r="N7" i="102" l="1"/>
  <c r="O7" i="102"/>
  <c r="P7" i="102"/>
  <c r="Q7" i="102"/>
  <c r="M7" i="102"/>
  <c r="D33" i="102"/>
  <c r="E33" i="102"/>
  <c r="E34" i="102" s="1"/>
  <c r="G33" i="102"/>
  <c r="G34" i="102" s="1"/>
  <c r="H33" i="102"/>
  <c r="J33" i="102" s="1"/>
  <c r="D24" i="102"/>
  <c r="D25" i="102" s="1"/>
  <c r="E24" i="102"/>
  <c r="E25" i="102" s="1"/>
  <c r="F24" i="102"/>
  <c r="F25" i="102" s="1"/>
  <c r="G24" i="102"/>
  <c r="G25" i="102" s="1"/>
  <c r="H24" i="102"/>
  <c r="J24" i="102" s="1"/>
  <c r="H14" i="102"/>
  <c r="J14" i="102" s="1"/>
  <c r="G14" i="102"/>
  <c r="G15" i="102" s="1"/>
  <c r="E14" i="102"/>
  <c r="E15" i="102" s="1"/>
  <c r="D14" i="102"/>
  <c r="D15" i="102" s="1"/>
  <c r="F14" i="102"/>
  <c r="F15" i="102" s="1"/>
  <c r="H34" i="102" l="1"/>
  <c r="J34" i="102" s="1"/>
  <c r="H25" i="102"/>
  <c r="J25" i="102" s="1"/>
  <c r="H15" i="102"/>
  <c r="J15" i="102" s="1"/>
  <c r="D34" i="102" l="1"/>
  <c r="K18" i="83" l="1"/>
  <c r="F39" i="83" l="1"/>
  <c r="AU18" i="83" l="1"/>
  <c r="AT18" i="83"/>
  <c r="AS18" i="83"/>
  <c r="AR18" i="83"/>
  <c r="AQ18" i="83"/>
  <c r="AP18" i="83"/>
  <c r="AO18" i="83"/>
  <c r="AN18" i="83"/>
  <c r="AM18" i="83"/>
  <c r="AL18" i="83"/>
  <c r="AK18" i="83"/>
  <c r="AJ18" i="83"/>
  <c r="AI18" i="83"/>
  <c r="AH18" i="83"/>
  <c r="AG18" i="83"/>
  <c r="AF18" i="83"/>
  <c r="AE18" i="83"/>
  <c r="AD18" i="83"/>
  <c r="AC18" i="83"/>
  <c r="AB18" i="83"/>
  <c r="AA18" i="83"/>
  <c r="Z18" i="83"/>
  <c r="Y18" i="83"/>
  <c r="X18" i="83"/>
  <c r="W18" i="83"/>
  <c r="V18" i="83"/>
  <c r="U18" i="83"/>
  <c r="T18" i="83"/>
  <c r="S18" i="83"/>
  <c r="R18" i="83"/>
  <c r="Q18" i="83"/>
  <c r="P18" i="83"/>
  <c r="O18" i="83"/>
  <c r="N18" i="83"/>
  <c r="M18" i="83"/>
  <c r="L18" i="83"/>
  <c r="J18" i="83"/>
  <c r="I18" i="83"/>
  <c r="H18" i="83"/>
  <c r="G18" i="83"/>
  <c r="F18" i="83"/>
  <c r="E18" i="83"/>
  <c r="D18" i="83"/>
  <c r="C18" i="83"/>
  <c r="AZ17" i="83"/>
  <c r="AW17" i="83"/>
  <c r="AT17" i="83"/>
  <c r="E36" i="83" s="1"/>
  <c r="E39" i="83" s="1"/>
  <c r="AS17" i="83"/>
  <c r="AR17" i="83"/>
  <c r="AQ17" i="83"/>
  <c r="AP17" i="83"/>
  <c r="AO17" i="83"/>
  <c r="AN17" i="83"/>
  <c r="AM17" i="83"/>
  <c r="AL17" i="83"/>
  <c r="AK17" i="83"/>
  <c r="AJ17" i="83"/>
  <c r="AI17" i="83"/>
  <c r="AH17" i="83"/>
  <c r="AG17" i="83"/>
  <c r="AF17" i="83"/>
  <c r="C36" i="83" s="1"/>
  <c r="C39" i="83" s="1"/>
  <c r="AE17" i="83"/>
  <c r="AD17" i="83"/>
  <c r="AC17" i="83"/>
  <c r="AB17" i="83"/>
  <c r="AA17" i="83"/>
  <c r="Z17" i="83"/>
  <c r="Y17" i="83"/>
  <c r="W17" i="83"/>
  <c r="V17" i="83"/>
  <c r="U17" i="83"/>
  <c r="T17" i="83"/>
  <c r="S17" i="83"/>
  <c r="R17" i="83"/>
  <c r="Q17" i="83"/>
  <c r="O17" i="83"/>
  <c r="N17" i="83"/>
  <c r="M17" i="83"/>
  <c r="L17" i="83"/>
  <c r="D36" i="83" s="1"/>
  <c r="K17" i="83"/>
  <c r="J17" i="83"/>
  <c r="I17" i="83"/>
  <c r="H17" i="83"/>
  <c r="G17" i="83"/>
  <c r="F17" i="83"/>
  <c r="E17" i="83"/>
  <c r="D17" i="83"/>
  <c r="C17" i="83"/>
  <c r="B17" i="83"/>
  <c r="P17" i="83" l="1"/>
  <c r="L19" i="83"/>
  <c r="C19" i="83"/>
  <c r="D19" i="83"/>
  <c r="H19" i="83"/>
  <c r="B19" i="83"/>
  <c r="K19" i="83"/>
  <c r="E19" i="83"/>
  <c r="G19" i="83"/>
  <c r="J19" i="83"/>
  <c r="G36" i="83"/>
  <c r="D39" i="83"/>
  <c r="G39" i="83" s="1"/>
  <c r="P19" i="83" l="1"/>
  <c r="F33" i="102" l="1"/>
  <c r="F34" i="102" s="1"/>
  <c r="BB42" i="121"/>
  <c r="BB45" i="121" s="1"/>
  <c r="F40" i="121"/>
  <c r="AT38" i="121"/>
  <c r="AR38" i="121"/>
  <c r="AQ38" i="121"/>
  <c r="AW36" i="121"/>
  <c r="AZ54" i="121" s="1"/>
  <c r="AT36" i="121"/>
  <c r="AS36" i="121"/>
  <c r="AS38" i="121" s="1"/>
  <c r="AR36" i="121"/>
  <c r="AQ36" i="121"/>
  <c r="AP36" i="121"/>
  <c r="AP38" i="121" s="1"/>
  <c r="AO36" i="121"/>
  <c r="AM36" i="121"/>
  <c r="AM38" i="121" s="1"/>
  <c r="AK36" i="121"/>
  <c r="AL36" i="121" s="1"/>
  <c r="AJ36" i="121"/>
  <c r="AJ38" i="121" s="1"/>
  <c r="AI36" i="121"/>
  <c r="AI38" i="121" s="1"/>
  <c r="AH36" i="121"/>
  <c r="AH38" i="121" s="1"/>
  <c r="AG36" i="121"/>
  <c r="AG38" i="121" s="1"/>
  <c r="AE36" i="121"/>
  <c r="AE38" i="121" s="1"/>
  <c r="AD36" i="121"/>
  <c r="AD38" i="121" s="1"/>
  <c r="AC36" i="121"/>
  <c r="AC38" i="121" s="1"/>
  <c r="AB36" i="121"/>
  <c r="AB38" i="121" s="1"/>
  <c r="AA36" i="121"/>
  <c r="AA38" i="121" s="1"/>
  <c r="Z36" i="121"/>
  <c r="Z38" i="121" s="1"/>
  <c r="Y36" i="121"/>
  <c r="Y38" i="121" s="1"/>
  <c r="X36" i="121"/>
  <c r="X38" i="121" s="1"/>
  <c r="W36" i="121"/>
  <c r="W38" i="121" s="1"/>
  <c r="V36" i="121"/>
  <c r="V38" i="121" s="1"/>
  <c r="U36" i="121"/>
  <c r="U38" i="121" s="1"/>
  <c r="T36" i="121"/>
  <c r="T38" i="121" s="1"/>
  <c r="S36" i="121"/>
  <c r="S38" i="121" s="1"/>
  <c r="R36" i="121"/>
  <c r="R38" i="121" s="1"/>
  <c r="O36" i="121"/>
  <c r="O38" i="121" s="1"/>
  <c r="N36" i="121"/>
  <c r="N38" i="121" s="1"/>
  <c r="M36" i="121"/>
  <c r="M38" i="121" s="1"/>
  <c r="L36" i="121"/>
  <c r="K36" i="121"/>
  <c r="K38" i="121" s="1"/>
  <c r="J36" i="121"/>
  <c r="J38" i="121" s="1"/>
  <c r="I36" i="121"/>
  <c r="I38" i="121" s="1"/>
  <c r="H36" i="121"/>
  <c r="H38" i="121" s="1"/>
  <c r="G36" i="121"/>
  <c r="G38" i="121" s="1"/>
  <c r="F36" i="121"/>
  <c r="F38" i="121" s="1"/>
  <c r="E36" i="121"/>
  <c r="E38" i="121" s="1"/>
  <c r="D36" i="121"/>
  <c r="D38" i="121" s="1"/>
  <c r="C36" i="121"/>
  <c r="B36" i="121"/>
  <c r="AL35" i="121"/>
  <c r="AF35" i="121"/>
  <c r="AV35" i="121" s="1"/>
  <c r="P35" i="121"/>
  <c r="Q35" i="121" s="1"/>
  <c r="AL34" i="121"/>
  <c r="AF34" i="121"/>
  <c r="P34" i="121"/>
  <c r="AV34" i="121" s="1"/>
  <c r="Q34" i="121" s="1"/>
  <c r="AL33" i="121"/>
  <c r="AF33" i="121"/>
  <c r="P33" i="121"/>
  <c r="AV33" i="121" s="1"/>
  <c r="AL32" i="121"/>
  <c r="AF32" i="121"/>
  <c r="P32" i="121"/>
  <c r="AV32" i="121" s="1"/>
  <c r="AL31" i="121"/>
  <c r="AF31" i="121"/>
  <c r="P31" i="121"/>
  <c r="AV31" i="121" s="1"/>
  <c r="AL30" i="121"/>
  <c r="AF30" i="121"/>
  <c r="P30" i="121"/>
  <c r="AL29" i="121"/>
  <c r="AF29" i="121"/>
  <c r="P29" i="121"/>
  <c r="AV29" i="121" s="1"/>
  <c r="AL28" i="121"/>
  <c r="AF28" i="121"/>
  <c r="AV28" i="121" s="1"/>
  <c r="Q28" i="121" s="1"/>
  <c r="P28" i="121"/>
  <c r="AL27" i="121"/>
  <c r="AF27" i="121"/>
  <c r="P27" i="121"/>
  <c r="AV27" i="121" s="1"/>
  <c r="AL26" i="121"/>
  <c r="AF26" i="121"/>
  <c r="P26" i="121"/>
  <c r="AV26" i="121" s="1"/>
  <c r="Q26" i="121" s="1"/>
  <c r="AL25" i="121"/>
  <c r="AF25" i="121"/>
  <c r="P25" i="121"/>
  <c r="AV25" i="121" s="1"/>
  <c r="Q25" i="121" s="1"/>
  <c r="AL24" i="121"/>
  <c r="AF24" i="121"/>
  <c r="P24" i="121"/>
  <c r="AV24" i="121" s="1"/>
  <c r="AL23" i="121"/>
  <c r="AF23" i="121"/>
  <c r="AV23" i="121" s="1"/>
  <c r="P23" i="121"/>
  <c r="Q23" i="121" s="1"/>
  <c r="AL22" i="121"/>
  <c r="AF22" i="121"/>
  <c r="P22" i="121"/>
  <c r="AV22" i="121" s="1"/>
  <c r="Q22" i="121" s="1"/>
  <c r="AL21" i="121"/>
  <c r="AF21" i="121"/>
  <c r="P21" i="121"/>
  <c r="AV21" i="121" s="1"/>
  <c r="AL20" i="121"/>
  <c r="AF20" i="121"/>
  <c r="P20" i="121"/>
  <c r="AV20" i="121" s="1"/>
  <c r="AL19" i="121"/>
  <c r="AF19" i="121"/>
  <c r="P19" i="121"/>
  <c r="AV19" i="121" s="1"/>
  <c r="AL18" i="121"/>
  <c r="AV18" i="121" s="1"/>
  <c r="AF18" i="121"/>
  <c r="P18" i="121"/>
  <c r="Q18" i="121" s="1"/>
  <c r="AL17" i="121"/>
  <c r="AF17" i="121"/>
  <c r="P17" i="121"/>
  <c r="AV17" i="121" s="1"/>
  <c r="AL16" i="121"/>
  <c r="AF16" i="121"/>
  <c r="AV16" i="121" s="1"/>
  <c r="Q16" i="121" s="1"/>
  <c r="P16" i="121"/>
  <c r="AL15" i="121"/>
  <c r="AF15" i="121"/>
  <c r="P15" i="121"/>
  <c r="AV15" i="121" s="1"/>
  <c r="AL14" i="121"/>
  <c r="AF14" i="121"/>
  <c r="P14" i="121"/>
  <c r="AV14" i="121" s="1"/>
  <c r="Q14" i="121" s="1"/>
  <c r="AV13" i="121"/>
  <c r="Q13" i="121" s="1"/>
  <c r="AL13" i="121"/>
  <c r="AF13" i="121"/>
  <c r="P13" i="121"/>
  <c r="AL12" i="121"/>
  <c r="AF12" i="121"/>
  <c r="P12" i="121"/>
  <c r="AV12" i="121" s="1"/>
  <c r="AL11" i="121"/>
  <c r="AF11" i="121"/>
  <c r="AV11" i="121" s="1"/>
  <c r="Q11" i="121" s="1"/>
  <c r="P11" i="121"/>
  <c r="AL10" i="121"/>
  <c r="AF10" i="121"/>
  <c r="P10" i="121"/>
  <c r="AV10" i="121" s="1"/>
  <c r="Q10" i="121" s="1"/>
  <c r="AL9" i="121"/>
  <c r="AF9" i="121"/>
  <c r="P9" i="121"/>
  <c r="AV9" i="121" s="1"/>
  <c r="AL8" i="121"/>
  <c r="AF8" i="121"/>
  <c r="P8" i="121"/>
  <c r="AV8" i="121" s="1"/>
  <c r="AL7" i="121"/>
  <c r="AF7" i="121"/>
  <c r="P7" i="121"/>
  <c r="AV7" i="121" s="1"/>
  <c r="AL6" i="121"/>
  <c r="AV6" i="121" s="1"/>
  <c r="AF6" i="121"/>
  <c r="P6" i="121"/>
  <c r="Q6" i="121" s="1"/>
  <c r="AL5" i="121"/>
  <c r="AF5" i="121"/>
  <c r="P5" i="121"/>
  <c r="AV5" i="121" s="1"/>
  <c r="AZ54" i="120"/>
  <c r="AT38" i="120"/>
  <c r="AR38" i="120"/>
  <c r="AW36" i="120"/>
  <c r="AW37" i="120" s="1"/>
  <c r="BA54" i="120" s="1"/>
  <c r="AT36" i="120"/>
  <c r="BB42" i="120" s="1"/>
  <c r="BB45" i="120" s="1"/>
  <c r="AS36" i="120"/>
  <c r="AS38" i="120" s="1"/>
  <c r="AR36" i="120"/>
  <c r="AQ36" i="120"/>
  <c r="AQ38" i="120" s="1"/>
  <c r="AP36" i="120"/>
  <c r="AP38" i="120" s="1"/>
  <c r="AO36" i="120"/>
  <c r="AM36" i="120"/>
  <c r="AM38" i="120" s="1"/>
  <c r="AK36" i="120"/>
  <c r="AK38" i="120" s="1"/>
  <c r="AJ36" i="120"/>
  <c r="AJ38" i="120" s="1"/>
  <c r="AI36" i="120"/>
  <c r="AI38" i="120" s="1"/>
  <c r="AH36" i="120"/>
  <c r="AH38" i="120" s="1"/>
  <c r="AG36" i="120"/>
  <c r="AL36" i="120" s="1"/>
  <c r="AE36" i="120"/>
  <c r="AE38" i="120" s="1"/>
  <c r="AD36" i="120"/>
  <c r="AD38" i="120" s="1"/>
  <c r="AC36" i="120"/>
  <c r="AC38" i="120" s="1"/>
  <c r="AB36" i="120"/>
  <c r="AB38" i="120" s="1"/>
  <c r="AA36" i="120"/>
  <c r="AA38" i="120" s="1"/>
  <c r="Z36" i="120"/>
  <c r="Z38" i="120" s="1"/>
  <c r="Y36" i="120"/>
  <c r="Y38" i="120" s="1"/>
  <c r="X36" i="120"/>
  <c r="X38" i="120" s="1"/>
  <c r="W36" i="120"/>
  <c r="W38" i="120" s="1"/>
  <c r="V36" i="120"/>
  <c r="V38" i="120" s="1"/>
  <c r="U36" i="120"/>
  <c r="U38" i="120" s="1"/>
  <c r="T36" i="120"/>
  <c r="T38" i="120" s="1"/>
  <c r="S36" i="120"/>
  <c r="S38" i="120" s="1"/>
  <c r="R36" i="120"/>
  <c r="AF36" i="120" s="1"/>
  <c r="O36" i="120"/>
  <c r="O38" i="120" s="1"/>
  <c r="N36" i="120"/>
  <c r="N38" i="120" s="1"/>
  <c r="M36" i="120"/>
  <c r="M38" i="120" s="1"/>
  <c r="L36" i="120"/>
  <c r="L38" i="120" s="1"/>
  <c r="K36" i="120"/>
  <c r="K38" i="120" s="1"/>
  <c r="J36" i="120"/>
  <c r="J40" i="120" s="1"/>
  <c r="I36" i="120"/>
  <c r="I40" i="120" s="1"/>
  <c r="H36" i="120"/>
  <c r="H40" i="120" s="1"/>
  <c r="G36" i="120"/>
  <c r="F36" i="120"/>
  <c r="F40" i="120" s="1"/>
  <c r="E36" i="120"/>
  <c r="E38" i="120" s="1"/>
  <c r="D36" i="120"/>
  <c r="D38" i="120" s="1"/>
  <c r="C36" i="120"/>
  <c r="C38" i="120" s="1"/>
  <c r="B36" i="120"/>
  <c r="P36" i="120" s="1"/>
  <c r="AL35" i="120"/>
  <c r="AF35" i="120"/>
  <c r="P35" i="120"/>
  <c r="AV35" i="120" s="1"/>
  <c r="AL34" i="120"/>
  <c r="AF34" i="120"/>
  <c r="AV34" i="120" s="1"/>
  <c r="P34" i="120"/>
  <c r="Q34" i="120" s="1"/>
  <c r="AL33" i="120"/>
  <c r="AF33" i="120"/>
  <c r="P33" i="120"/>
  <c r="AV33" i="120" s="1"/>
  <c r="Q33" i="120" s="1"/>
  <c r="AL32" i="120"/>
  <c r="AF32" i="120"/>
  <c r="P32" i="120"/>
  <c r="AL31" i="120"/>
  <c r="AF31" i="120"/>
  <c r="P31" i="120"/>
  <c r="AV31" i="120" s="1"/>
  <c r="AL30" i="120"/>
  <c r="AF30" i="120"/>
  <c r="P30" i="120"/>
  <c r="AV30" i="120" s="1"/>
  <c r="AL29" i="120"/>
  <c r="AV29" i="120" s="1"/>
  <c r="AF29" i="120"/>
  <c r="P29" i="120"/>
  <c r="Q29" i="120" s="1"/>
  <c r="AL28" i="120"/>
  <c r="AF28" i="120"/>
  <c r="P28" i="120"/>
  <c r="AV28" i="120" s="1"/>
  <c r="AL27" i="120"/>
  <c r="AF27" i="120"/>
  <c r="AV27" i="120" s="1"/>
  <c r="Q27" i="120" s="1"/>
  <c r="P27" i="120"/>
  <c r="AL26" i="120"/>
  <c r="AF26" i="120"/>
  <c r="P26" i="120"/>
  <c r="AV26" i="120" s="1"/>
  <c r="AL25" i="120"/>
  <c r="AF25" i="120"/>
  <c r="P25" i="120"/>
  <c r="AV24" i="120"/>
  <c r="Q24" i="120" s="1"/>
  <c r="AL24" i="120"/>
  <c r="AF24" i="120"/>
  <c r="P24" i="120"/>
  <c r="AL23" i="120"/>
  <c r="AF23" i="120"/>
  <c r="P23" i="120"/>
  <c r="AV23" i="120" s="1"/>
  <c r="AL22" i="120"/>
  <c r="AF22" i="120"/>
  <c r="AV22" i="120" s="1"/>
  <c r="Q22" i="120" s="1"/>
  <c r="P22" i="120"/>
  <c r="AL21" i="120"/>
  <c r="AF21" i="120"/>
  <c r="P21" i="120"/>
  <c r="AV21" i="120" s="1"/>
  <c r="Q21" i="120" s="1"/>
  <c r="AL20" i="120"/>
  <c r="AF20" i="120"/>
  <c r="P20" i="120"/>
  <c r="AL19" i="120"/>
  <c r="AF19" i="120"/>
  <c r="P19" i="120"/>
  <c r="AV19" i="120" s="1"/>
  <c r="AL18" i="120"/>
  <c r="AF18" i="120"/>
  <c r="P18" i="120"/>
  <c r="AV18" i="120" s="1"/>
  <c r="AL17" i="120"/>
  <c r="AV17" i="120" s="1"/>
  <c r="AF17" i="120"/>
  <c r="P17" i="120"/>
  <c r="Q17" i="120" s="1"/>
  <c r="AL16" i="120"/>
  <c r="AF16" i="120"/>
  <c r="P16" i="120"/>
  <c r="AV16" i="120" s="1"/>
  <c r="AL15" i="120"/>
  <c r="AF15" i="120"/>
  <c r="AV15" i="120" s="1"/>
  <c r="Q15" i="120" s="1"/>
  <c r="P15" i="120"/>
  <c r="AL14" i="120"/>
  <c r="AF14" i="120"/>
  <c r="P14" i="120"/>
  <c r="AV14" i="120" s="1"/>
  <c r="AL13" i="120"/>
  <c r="AF13" i="120"/>
  <c r="P13" i="120"/>
  <c r="AV12" i="120"/>
  <c r="Q12" i="120" s="1"/>
  <c r="AL12" i="120"/>
  <c r="AF12" i="120"/>
  <c r="P12" i="120"/>
  <c r="AL11" i="120"/>
  <c r="AF11" i="120"/>
  <c r="P11" i="120"/>
  <c r="AV11" i="120" s="1"/>
  <c r="AL10" i="120"/>
  <c r="AF10" i="120"/>
  <c r="AV10" i="120" s="1"/>
  <c r="Q10" i="120" s="1"/>
  <c r="P10" i="120"/>
  <c r="AL9" i="120"/>
  <c r="AF9" i="120"/>
  <c r="P9" i="120"/>
  <c r="AV9" i="120" s="1"/>
  <c r="Q9" i="120" s="1"/>
  <c r="AL8" i="120"/>
  <c r="AF8" i="120"/>
  <c r="P8" i="120"/>
  <c r="AV8" i="120" s="1"/>
  <c r="AL7" i="120"/>
  <c r="AF7" i="120"/>
  <c r="P7" i="120"/>
  <c r="AV7" i="120" s="1"/>
  <c r="AL6" i="120"/>
  <c r="AF6" i="120"/>
  <c r="P6" i="120"/>
  <c r="AV6" i="120" s="1"/>
  <c r="AL5" i="120"/>
  <c r="AV5" i="120" s="1"/>
  <c r="AF5" i="120"/>
  <c r="P5" i="120"/>
  <c r="Q5" i="120" s="1"/>
  <c r="Q36" i="120" s="1"/>
  <c r="Q38" i="120" s="1"/>
  <c r="AV30" i="121" l="1"/>
  <c r="Q30" i="121" s="1"/>
  <c r="AV36" i="121"/>
  <c r="AL38" i="121"/>
  <c r="P38" i="120"/>
  <c r="K40" i="120"/>
  <c r="E40" i="120"/>
  <c r="D40" i="120"/>
  <c r="C40" i="120"/>
  <c r="B40" i="120"/>
  <c r="L40" i="120"/>
  <c r="BA42" i="120"/>
  <c r="AF38" i="120"/>
  <c r="Q32" i="120"/>
  <c r="G40" i="120"/>
  <c r="G38" i="120"/>
  <c r="Q9" i="121"/>
  <c r="Q21" i="121"/>
  <c r="Q33" i="121"/>
  <c r="L38" i="121"/>
  <c r="AW37" i="121"/>
  <c r="BA54" i="121" s="1"/>
  <c r="AK38" i="121"/>
  <c r="H38" i="120"/>
  <c r="I38" i="120"/>
  <c r="AG38" i="120"/>
  <c r="AL38" i="120" s="1"/>
  <c r="Q7" i="121"/>
  <c r="Q19" i="121"/>
  <c r="Q31" i="121"/>
  <c r="B38" i="121"/>
  <c r="F38" i="120"/>
  <c r="AV20" i="120"/>
  <c r="Q20" i="120" s="1"/>
  <c r="Q23" i="120"/>
  <c r="AV32" i="120"/>
  <c r="Q35" i="120"/>
  <c r="J38" i="120"/>
  <c r="Q12" i="121"/>
  <c r="Q24" i="121"/>
  <c r="C38" i="121"/>
  <c r="Q8" i="120"/>
  <c r="AV13" i="120"/>
  <c r="Q13" i="120" s="1"/>
  <c r="Q16" i="120"/>
  <c r="AV25" i="120"/>
  <c r="Q25" i="120" s="1"/>
  <c r="Q28" i="120"/>
  <c r="Q5" i="121"/>
  <c r="Q36" i="121" s="1"/>
  <c r="Q38" i="121" s="1"/>
  <c r="Q17" i="121"/>
  <c r="Q29" i="121"/>
  <c r="P36" i="121"/>
  <c r="K40" i="121" s="1"/>
  <c r="I40" i="121"/>
  <c r="Q18" i="120"/>
  <c r="Q30" i="120"/>
  <c r="R38" i="120"/>
  <c r="Q11" i="120"/>
  <c r="Q14" i="120"/>
  <c r="Q26" i="120"/>
  <c r="Q15" i="121"/>
  <c r="Q27" i="121"/>
  <c r="Q7" i="120"/>
  <c r="Q19" i="120"/>
  <c r="Q31" i="120"/>
  <c r="B38" i="120"/>
  <c r="Q8" i="121"/>
  <c r="Q20" i="121"/>
  <c r="Q32" i="121"/>
  <c r="AF36" i="121"/>
  <c r="Q6" i="120"/>
  <c r="L40" i="121" l="1"/>
  <c r="P40" i="120"/>
  <c r="B41" i="120"/>
  <c r="AF38" i="121"/>
  <c r="BA42" i="121"/>
  <c r="AV36" i="120"/>
  <c r="B40" i="121"/>
  <c r="D41" i="120"/>
  <c r="BB54" i="121"/>
  <c r="AV37" i="121"/>
  <c r="BC54" i="121" s="1"/>
  <c r="J40" i="121"/>
  <c r="P38" i="121"/>
  <c r="H40" i="121"/>
  <c r="G40" i="121"/>
  <c r="D40" i="121"/>
  <c r="E40" i="121"/>
  <c r="BA46" i="120"/>
  <c r="BA47" i="120" s="1"/>
  <c r="BA45" i="120"/>
  <c r="C40" i="121"/>
  <c r="AV37" i="120" l="1"/>
  <c r="BC54" i="120" s="1"/>
  <c r="BB54" i="120"/>
  <c r="BA46" i="121"/>
  <c r="BA47" i="121" s="1"/>
  <c r="BA45" i="121"/>
  <c r="D41" i="121"/>
  <c r="P41" i="120"/>
  <c r="B41" i="121"/>
  <c r="P41" i="121" s="1"/>
  <c r="P40" i="121"/>
</calcChain>
</file>

<file path=xl/comments1.xml><?xml version="1.0" encoding="utf-8"?>
<comments xmlns="http://schemas.openxmlformats.org/spreadsheetml/2006/main">
  <authors>
    <author>MASTER</author>
    <author>USER</author>
  </authors>
  <commentList>
    <comment ref="T3" authorId="0" shapeId="0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한울원자력</t>
        </r>
        <r>
          <rPr>
            <b/>
            <sz val="9"/>
            <color indexed="81"/>
            <rFont val="Tahoma"/>
            <family val="2"/>
          </rPr>
          <t xml:space="preserve">
2. </t>
        </r>
        <r>
          <rPr>
            <b/>
            <sz val="9"/>
            <color indexed="81"/>
            <rFont val="돋움"/>
            <family val="3"/>
            <charset val="129"/>
          </rPr>
          <t xml:space="preserve">신한울원자력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한울원자력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발전소
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나눠져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
농도는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비슷하다고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전달받음</t>
        </r>
      </text>
    </comment>
    <comment ref="W3" authorId="1" shapeId="0">
      <text>
        <r>
          <rPr>
            <b/>
            <sz val="9"/>
            <color indexed="81"/>
            <rFont val="Tahoma"/>
            <family val="2"/>
          </rPr>
          <t>240611
Li</t>
        </r>
        <r>
          <rPr>
            <b/>
            <sz val="9"/>
            <color indexed="81"/>
            <rFont val="돋움"/>
            <family val="3"/>
            <charset val="129"/>
          </rPr>
          <t>폐수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질산세관폐수
</t>
        </r>
        <r>
          <rPr>
            <b/>
            <sz val="9"/>
            <color indexed="81"/>
            <rFont val="Tahoma"/>
            <family val="2"/>
          </rPr>
          <t xml:space="preserve">(7:3)
240612
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질산세관폐수만
</t>
        </r>
        <r>
          <rPr>
            <b/>
            <sz val="9"/>
            <color indexed="81"/>
            <rFont val="돋움"/>
            <family val="3"/>
            <charset val="129"/>
          </rPr>
          <t xml:space="preserve">입고
</t>
        </r>
      </text>
    </comment>
  </commentList>
</comments>
</file>

<file path=xl/comments2.xml><?xml version="1.0" encoding="utf-8"?>
<comments xmlns="http://schemas.openxmlformats.org/spreadsheetml/2006/main">
  <authors>
    <author>MASTER</author>
    <author>USER</author>
  </authors>
  <commentList>
    <comment ref="T3" authorId="0" shapeId="0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한울원자력</t>
        </r>
        <r>
          <rPr>
            <b/>
            <sz val="9"/>
            <color indexed="81"/>
            <rFont val="Tahoma"/>
            <family val="2"/>
          </rPr>
          <t xml:space="preserve">
2. </t>
        </r>
        <r>
          <rPr>
            <b/>
            <sz val="9"/>
            <color indexed="81"/>
            <rFont val="돋움"/>
            <family val="3"/>
            <charset val="129"/>
          </rPr>
          <t xml:space="preserve">신한울원자력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한울원자력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발전소
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나눠져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
농도는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비슷하다고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전달받음</t>
        </r>
      </text>
    </comment>
    <comment ref="W3" authorId="1" shapeId="0">
      <text>
        <r>
          <rPr>
            <b/>
            <sz val="9"/>
            <color indexed="81"/>
            <rFont val="Tahoma"/>
            <family val="2"/>
          </rPr>
          <t>240611
Li</t>
        </r>
        <r>
          <rPr>
            <b/>
            <sz val="9"/>
            <color indexed="81"/>
            <rFont val="돋움"/>
            <family val="3"/>
            <charset val="129"/>
          </rPr>
          <t>폐수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질산세관폐수
</t>
        </r>
        <r>
          <rPr>
            <b/>
            <sz val="9"/>
            <color indexed="81"/>
            <rFont val="Tahoma"/>
            <family val="2"/>
          </rPr>
          <t xml:space="preserve">(7:3)
240612
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질산세관폐수만
</t>
        </r>
        <r>
          <rPr>
            <b/>
            <sz val="9"/>
            <color indexed="81"/>
            <rFont val="돋움"/>
            <family val="3"/>
            <charset val="129"/>
          </rPr>
          <t xml:space="preserve">입고
</t>
        </r>
      </text>
    </comment>
  </commentList>
</comments>
</file>

<file path=xl/comments3.xml><?xml version="1.0" encoding="utf-8"?>
<comments xmlns="http://schemas.openxmlformats.org/spreadsheetml/2006/main">
  <authors>
    <author>MASTER</author>
  </authors>
  <commentList>
    <comment ref="AF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7월부터는 무안군청이 기타일반계로 편입되었습니다.</t>
        </r>
      </text>
    </comment>
  </commentList>
</comments>
</file>

<file path=xl/sharedStrings.xml><?xml version="1.0" encoding="utf-8"?>
<sst xmlns="http://schemas.openxmlformats.org/spreadsheetml/2006/main" count="714" uniqueCount="265">
  <si>
    <t>구분</t>
    <phoneticPr fontId="4" type="noConversion"/>
  </si>
  <si>
    <t>월계</t>
    <phoneticPr fontId="4" type="noConversion"/>
  </si>
  <si>
    <t>구 분</t>
    <phoneticPr fontId="4" type="noConversion"/>
  </si>
  <si>
    <t>아세아테크</t>
    <phoneticPr fontId="4" type="noConversion"/>
  </si>
  <si>
    <t>침출수
반입
비율(%)</t>
    <phoneticPr fontId="4" type="noConversion"/>
  </si>
  <si>
    <t>1월</t>
    <phoneticPr fontId="4" type="noConversion"/>
  </si>
  <si>
    <t>2월</t>
    <phoneticPr fontId="4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</si>
  <si>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</si>
  <si>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</si>
  <si>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</si>
  <si>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</si>
  <si>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</si>
  <si>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</si>
  <si>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</si>
  <si>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</si>
  <si>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</si>
  <si>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</si>
  <si>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  <phoneticPr fontId="4" type="noConversion"/>
  </si>
  <si>
    <t>침출수
반입 비율
(%)</t>
    <phoneticPr fontId="4" type="noConversion"/>
  </si>
  <si>
    <t>기타일반계
합계</t>
    <phoneticPr fontId="4" type="noConversion"/>
  </si>
  <si>
    <t>월성
원자력</t>
    <phoneticPr fontId="4" type="noConversion"/>
  </si>
  <si>
    <t>고리
원자력</t>
    <phoneticPr fontId="4" type="noConversion"/>
  </si>
  <si>
    <t>하동군
생폐처리장</t>
    <phoneticPr fontId="4" type="noConversion"/>
  </si>
  <si>
    <t>에코랜드</t>
    <phoneticPr fontId="4" type="noConversion"/>
  </si>
  <si>
    <t>SK스페셜티</t>
    <phoneticPr fontId="4" type="noConversion"/>
  </si>
  <si>
    <t>산계</t>
    <phoneticPr fontId="4" type="noConversion"/>
  </si>
  <si>
    <t>알칼리계</t>
    <phoneticPr fontId="4" type="noConversion"/>
  </si>
  <si>
    <t>수치</t>
    <phoneticPr fontId="4" type="noConversion"/>
  </si>
  <si>
    <t>하동군
생폐처리장
(단가        협의중)</t>
    <phoneticPr fontId="4" type="noConversion"/>
  </si>
  <si>
    <t>새울
원자력</t>
  </si>
  <si>
    <t>에코프로
머티리얼즈</t>
  </si>
  <si>
    <t>SK스페셜티</t>
  </si>
  <si>
    <t>한울
원자력</t>
    <phoneticPr fontId="4" type="noConversion"/>
  </si>
  <si>
    <t>비정기
기타일반계</t>
    <phoneticPr fontId="4" type="noConversion"/>
  </si>
  <si>
    <t>처리계획</t>
    <phoneticPr fontId="4" type="noConversion"/>
  </si>
  <si>
    <t>TN 1.2</t>
    <phoneticPr fontId="4" type="noConversion"/>
  </si>
  <si>
    <t>예비1</t>
    <phoneticPr fontId="4" type="noConversion"/>
  </si>
  <si>
    <t>성진영농</t>
    <phoneticPr fontId="4" type="noConversion"/>
  </si>
  <si>
    <t>엠엔비
그린어스</t>
    <phoneticPr fontId="4" type="noConversion"/>
  </si>
  <si>
    <t>달성률</t>
    <phoneticPr fontId="4" type="noConversion"/>
  </si>
  <si>
    <t>그린밸리</t>
    <phoneticPr fontId="4" type="noConversion"/>
  </si>
  <si>
    <t>성진영농</t>
    <phoneticPr fontId="4" type="noConversion"/>
  </si>
  <si>
    <t>천보</t>
    <phoneticPr fontId="4" type="noConversion"/>
  </si>
  <si>
    <t>침출수
반입량</t>
    <phoneticPr fontId="4" type="noConversion"/>
  </si>
  <si>
    <t>처리량</t>
    <phoneticPr fontId="4" type="noConversion"/>
  </si>
  <si>
    <t>반입량</t>
    <phoneticPr fontId="4" type="noConversion"/>
  </si>
  <si>
    <t>전월대비</t>
    <phoneticPr fontId="4" type="noConversion"/>
  </si>
  <si>
    <t>예비2</t>
  </si>
  <si>
    <t>예비3</t>
  </si>
  <si>
    <t>에코프로
예비3</t>
  </si>
  <si>
    <t>에코프로
예비4</t>
  </si>
  <si>
    <t>에코프로
예비5</t>
  </si>
  <si>
    <t>예비4</t>
  </si>
  <si>
    <t>예비5</t>
  </si>
  <si>
    <t>고리
원자력</t>
    <phoneticPr fontId="4" type="noConversion"/>
  </si>
  <si>
    <t>기타
일반계</t>
    <phoneticPr fontId="4" type="noConversion"/>
  </si>
  <si>
    <t>반입계획</t>
    <phoneticPr fontId="4" type="noConversion"/>
  </si>
  <si>
    <t>고농도
침출수
반입량</t>
    <phoneticPr fontId="4" type="noConversion"/>
  </si>
  <si>
    <t>그린
바이로</t>
    <phoneticPr fontId="4" type="noConversion"/>
  </si>
  <si>
    <t>특이
사항</t>
    <phoneticPr fontId="4" type="noConversion"/>
  </si>
  <si>
    <t>화학처리
제외</t>
    <phoneticPr fontId="4" type="noConversion"/>
  </si>
  <si>
    <t>네이처
(천북)</t>
    <phoneticPr fontId="4" type="noConversion"/>
  </si>
  <si>
    <t>TOC 3,378</t>
    <phoneticPr fontId="4" type="noConversion"/>
  </si>
  <si>
    <t>에코비트
그린.충주</t>
    <phoneticPr fontId="4" type="noConversion"/>
  </si>
  <si>
    <t>TOC 5.8</t>
    <phoneticPr fontId="4" type="noConversion"/>
  </si>
  <si>
    <t>TOC 34</t>
    <phoneticPr fontId="4" type="noConversion"/>
  </si>
  <si>
    <t>새울
원자력</t>
    <phoneticPr fontId="4" type="noConversion"/>
  </si>
  <si>
    <t>TOC 1,909</t>
  </si>
  <si>
    <t>네이처
.천북</t>
    <phoneticPr fontId="4" type="noConversion"/>
  </si>
  <si>
    <t>네이처
.경주</t>
    <phoneticPr fontId="4" type="noConversion"/>
  </si>
  <si>
    <t>SK</t>
    <phoneticPr fontId="4" type="noConversion"/>
  </si>
  <si>
    <t>네이처
(경주)</t>
    <phoneticPr fontId="4" type="noConversion"/>
  </si>
  <si>
    <t>에코프로
머티리얼즈</t>
    <phoneticPr fontId="4" type="noConversion"/>
  </si>
  <si>
    <t>약품비 합계</t>
    <phoneticPr fontId="4" type="noConversion"/>
  </si>
  <si>
    <t>절감비용</t>
    <phoneticPr fontId="4" type="noConversion"/>
  </si>
  <si>
    <t>톤당 절감비용</t>
    <phoneticPr fontId="4" type="noConversion"/>
  </si>
  <si>
    <t>총 절감비용</t>
    <phoneticPr fontId="4" type="noConversion"/>
  </si>
  <si>
    <t>총 반입량</t>
    <phoneticPr fontId="4" type="noConversion"/>
  </si>
  <si>
    <t>월간</t>
    <phoneticPr fontId="4" type="noConversion"/>
  </si>
  <si>
    <t>업체명</t>
    <phoneticPr fontId="4" type="noConversion"/>
  </si>
  <si>
    <t>탈수처리비용</t>
    <phoneticPr fontId="4" type="noConversion"/>
  </si>
  <si>
    <t>▶기타일반계 화학처리비 산출</t>
  </si>
  <si>
    <t>구분</t>
  </si>
  <si>
    <t>원수</t>
  </si>
  <si>
    <t>NaOH</t>
  </si>
  <si>
    <t>Fe2(SO4)3</t>
  </si>
  <si>
    <t>슬러지</t>
  </si>
  <si>
    <t>비고</t>
  </si>
  <si>
    <t>단가</t>
  </si>
  <si>
    <t>-</t>
  </si>
  <si>
    <t>370원/kg</t>
  </si>
  <si>
    <t>82원/kg</t>
  </si>
  <si>
    <t>145원/㎏</t>
  </si>
  <si>
    <t>사용량(㎖)</t>
  </si>
  <si>
    <t>500㎖</t>
  </si>
  <si>
    <t>620㎎/ℓ</t>
  </si>
  <si>
    <t>환산(ℓ)</t>
  </si>
  <si>
    <t>1㎥</t>
  </si>
  <si>
    <t>620g</t>
  </si>
  <si>
    <t>환산(㎏)</t>
  </si>
  <si>
    <t>2.48㎏</t>
  </si>
  <si>
    <t>금액(원/톤)</t>
  </si>
  <si>
    <t>함수율
포함</t>
    <phoneticPr fontId="4" type="noConversion"/>
  </si>
  <si>
    <t>기타일반계
폐수
Jar-Test</t>
    <phoneticPr fontId="4" type="noConversion"/>
  </si>
  <si>
    <t>비중
1.5</t>
    <phoneticPr fontId="4" type="noConversion"/>
  </si>
  <si>
    <t>비중
1.578</t>
    <phoneticPr fontId="4" type="noConversion"/>
  </si>
  <si>
    <t>3,100원
적용</t>
    <phoneticPr fontId="4" type="noConversion"/>
  </si>
  <si>
    <t>비정기</t>
    <phoneticPr fontId="4" type="noConversion"/>
  </si>
  <si>
    <t>전월</t>
    <phoneticPr fontId="4" type="noConversion"/>
  </si>
  <si>
    <t>두산건설</t>
    <phoneticPr fontId="4" type="noConversion"/>
  </si>
  <si>
    <t>KD환경</t>
  </si>
  <si>
    <t>천보</t>
  </si>
  <si>
    <t>TOC 32.9, TN 27</t>
  </si>
  <si>
    <t>예비1</t>
    <phoneticPr fontId="4" type="noConversion"/>
  </si>
  <si>
    <t>예비2</t>
    <phoneticPr fontId="4" type="noConversion"/>
  </si>
  <si>
    <t>무안
환경비전</t>
    <phoneticPr fontId="4" type="noConversion"/>
  </si>
  <si>
    <t>1. 9월 무안환경비전(침출수)을 기타일반계로 투입하여 기타일반계 원가절감에 포함되었습니다.
2. 세아특수강 폐수에 고형분이 다량 함유되어 실험중입니다.</t>
    <phoneticPr fontId="4" type="noConversion"/>
  </si>
  <si>
    <t>포스코
퓨처엠</t>
    <phoneticPr fontId="4" type="noConversion"/>
  </si>
  <si>
    <t>약품비(2,479)</t>
    <phoneticPr fontId="4" type="noConversion"/>
  </si>
  <si>
    <t>탈수처리비(540)</t>
    <phoneticPr fontId="4" type="noConversion"/>
  </si>
  <si>
    <t>아세아
테크</t>
    <phoneticPr fontId="4" type="noConversion"/>
  </si>
  <si>
    <t>네이처 .천북</t>
    <phoneticPr fontId="4" type="noConversion"/>
  </si>
  <si>
    <t>네이처 .경주</t>
    <phoneticPr fontId="4" type="noConversion"/>
  </si>
  <si>
    <t>무안환경비전</t>
    <phoneticPr fontId="4" type="noConversion"/>
  </si>
  <si>
    <t>월성원자력</t>
    <phoneticPr fontId="4" type="noConversion"/>
  </si>
  <si>
    <t>한울원자력</t>
    <phoneticPr fontId="4" type="noConversion"/>
  </si>
  <si>
    <t>고리원자력</t>
    <phoneticPr fontId="4" type="noConversion"/>
  </si>
  <si>
    <t>새울원자력</t>
    <phoneticPr fontId="4" type="noConversion"/>
  </si>
  <si>
    <t>에코프로머티리얼즈</t>
    <phoneticPr fontId="4" type="noConversion"/>
  </si>
  <si>
    <t>엠엔비그린어스</t>
    <phoneticPr fontId="4" type="noConversion"/>
  </si>
  <si>
    <t>고농도침출수 반입량</t>
    <phoneticPr fontId="4" type="noConversion"/>
  </si>
  <si>
    <t>침출수반입 비율(%)</t>
    <phoneticPr fontId="4" type="noConversion"/>
  </si>
  <si>
    <t>기타일반계 반입량</t>
    <phoneticPr fontId="4" type="noConversion"/>
  </si>
  <si>
    <t>총 합계</t>
    <phoneticPr fontId="4" type="noConversion"/>
  </si>
  <si>
    <r>
      <t>그린밸리</t>
    </r>
    <r>
      <rPr>
        <sz val="10"/>
        <color theme="1"/>
        <rFont val="맑은 고딕"/>
        <family val="3"/>
        <charset val="129"/>
        <scheme val="minor"/>
      </rPr>
      <t>(이앤컴퍼니)</t>
    </r>
    <phoneticPr fontId="4" type="noConversion"/>
  </si>
  <si>
    <r>
      <t>나곡매립장</t>
    </r>
    <r>
      <rPr>
        <sz val="10"/>
        <color theme="1"/>
        <rFont val="맑은 고딕"/>
        <family val="3"/>
        <charset val="129"/>
        <scheme val="minor"/>
      </rPr>
      <t>(울진)</t>
    </r>
    <phoneticPr fontId="4" type="noConversion"/>
  </si>
  <si>
    <r>
      <t>에코랜드</t>
    </r>
    <r>
      <rPr>
        <sz val="10"/>
        <color theme="1"/>
        <rFont val="맑은 고딕"/>
        <family val="3"/>
        <charset val="129"/>
        <scheme val="minor"/>
      </rPr>
      <t>(제넨바이오)</t>
    </r>
    <phoneticPr fontId="4" type="noConversion"/>
  </si>
  <si>
    <t>그린파워, 세종시,하동</t>
    <phoneticPr fontId="4" type="noConversion"/>
  </si>
  <si>
    <t>일반계 1,2,3</t>
    <phoneticPr fontId="4" type="noConversion"/>
  </si>
  <si>
    <t>기타일반계 반입비율(%)</t>
    <phoneticPr fontId="4" type="noConversion"/>
  </si>
  <si>
    <t>그 외 반입량</t>
    <phoneticPr fontId="4" type="noConversion"/>
  </si>
  <si>
    <t>반입량 비율</t>
    <phoneticPr fontId="4" type="noConversion"/>
  </si>
  <si>
    <t>▶년도별 폐수수탁 성상별 반입 현황</t>
    <phoneticPr fontId="4" type="noConversion"/>
  </si>
  <si>
    <t>고농도침출수</t>
    <phoneticPr fontId="4" type="noConversion"/>
  </si>
  <si>
    <t>기타일반계</t>
    <phoneticPr fontId="4" type="noConversion"/>
  </si>
  <si>
    <t>그외 폐수</t>
    <phoneticPr fontId="4" type="noConversion"/>
  </si>
  <si>
    <t>성상 구분</t>
    <phoneticPr fontId="4" type="noConversion"/>
  </si>
  <si>
    <t>▶성상별 반입 비율</t>
    <phoneticPr fontId="4" type="noConversion"/>
  </si>
  <si>
    <t>합 계</t>
    <phoneticPr fontId="4" type="noConversion"/>
  </si>
  <si>
    <t>전년대비</t>
    <phoneticPr fontId="4" type="noConversion"/>
  </si>
  <si>
    <t>리뉴랜드
신경주</t>
  </si>
  <si>
    <t>KD환경.
경주</t>
    <phoneticPr fontId="4" type="noConversion"/>
  </si>
  <si>
    <t>예비3</t>
    <phoneticPr fontId="4" type="noConversion"/>
  </si>
  <si>
    <t>TOC 5.8</t>
  </si>
  <si>
    <t>TOC 34</t>
  </si>
  <si>
    <t>TN 1.2</t>
  </si>
  <si>
    <t>포스코
퓨처엠
양극재</t>
    <phoneticPr fontId="4" type="noConversion"/>
  </si>
  <si>
    <t>TOC 2,484</t>
    <phoneticPr fontId="4" type="noConversion"/>
  </si>
  <si>
    <t>TOC 1,053</t>
    <phoneticPr fontId="4" type="noConversion"/>
  </si>
  <si>
    <t>TOC 895</t>
    <phoneticPr fontId="4" type="noConversion"/>
  </si>
  <si>
    <t>TOC 214</t>
    <phoneticPr fontId="4" type="noConversion"/>
  </si>
  <si>
    <t>TN 1.0</t>
    <phoneticPr fontId="4" type="noConversion"/>
  </si>
  <si>
    <t>TOC 1,686</t>
  </si>
  <si>
    <t>TOC 2,484</t>
  </si>
  <si>
    <t>TOC 3,378</t>
  </si>
  <si>
    <t>TOC 895</t>
  </si>
  <si>
    <t>TOC 1,059</t>
  </si>
  <si>
    <t>TOC 1,053</t>
  </si>
  <si>
    <t>TOC 395.5</t>
  </si>
  <si>
    <t>TOC 214</t>
  </si>
  <si>
    <t>TN 1.0</t>
  </si>
  <si>
    <t>TN 27</t>
  </si>
  <si>
    <t>TOC 2,406</t>
    <phoneticPr fontId="4" type="noConversion"/>
  </si>
  <si>
    <t>그린밸리
(이앤컴퍼니)
돔</t>
    <phoneticPr fontId="4" type="noConversion"/>
  </si>
  <si>
    <t>리뉴랜드
신경주
돔</t>
    <phoneticPr fontId="4" type="noConversion"/>
  </si>
  <si>
    <t>아세아테크
돔</t>
    <phoneticPr fontId="4" type="noConversion"/>
  </si>
  <si>
    <t>날짜</t>
  </si>
  <si>
    <t>달성률</t>
  </si>
  <si>
    <t>TOC 1,002</t>
    <phoneticPr fontId="4" type="noConversion"/>
  </si>
  <si>
    <t>TOC 2,618</t>
    <phoneticPr fontId="4" type="noConversion"/>
  </si>
  <si>
    <t>군위군청</t>
    <phoneticPr fontId="4" type="noConversion"/>
  </si>
  <si>
    <t>영풍석포
25.02.26
일시물량</t>
    <phoneticPr fontId="4" type="noConversion"/>
  </si>
  <si>
    <t>TN 0.5</t>
    <phoneticPr fontId="4" type="noConversion"/>
  </si>
  <si>
    <t>TOC 19</t>
  </si>
  <si>
    <t>TN 0.5</t>
  </si>
  <si>
    <t>연평균</t>
    <phoneticPr fontId="4" type="noConversion"/>
  </si>
  <si>
    <t>영풍석포
2공장</t>
    <phoneticPr fontId="4" type="noConversion"/>
  </si>
  <si>
    <t>기타일반계 원가절감 데이터</t>
    <phoneticPr fontId="4" type="noConversion"/>
  </si>
  <si>
    <t xml:space="preserve"> </t>
    <phoneticPr fontId="4" type="noConversion"/>
  </si>
  <si>
    <t>년 누계</t>
    <phoneticPr fontId="4" type="noConversion"/>
  </si>
  <si>
    <t xml:space="preserve"> 절감 약품 종류 : NaOH, H2SO4, Fe2(SO4)3, Cation ★전처리약품</t>
    <phoneticPr fontId="4" type="noConversion"/>
  </si>
  <si>
    <t>107TK</t>
    <phoneticPr fontId="4" type="noConversion"/>
  </si>
  <si>
    <t>연비율</t>
    <phoneticPr fontId="4" type="noConversion"/>
  </si>
  <si>
    <t>군위군청
25.2.26~
(최초반입)</t>
  </si>
  <si>
    <t>고농도
침출수
비율</t>
    <phoneticPr fontId="4" type="noConversion"/>
  </si>
  <si>
    <t>포스코양극재</t>
    <phoneticPr fontId="4" type="noConversion"/>
  </si>
  <si>
    <t>일반계
합계</t>
    <phoneticPr fontId="4" type="noConversion"/>
  </si>
  <si>
    <t>`</t>
    <phoneticPr fontId="4" type="noConversion"/>
  </si>
  <si>
    <t>성진영농</t>
  </si>
  <si>
    <t>TN 9</t>
  </si>
  <si>
    <t>산계</t>
  </si>
  <si>
    <t>그 외
일반계</t>
    <phoneticPr fontId="4" type="noConversion"/>
  </si>
  <si>
    <t>무안환경
비전</t>
    <phoneticPr fontId="4" type="noConversion"/>
  </si>
  <si>
    <t>에코랜드
(제넨바이오)</t>
    <phoneticPr fontId="4" type="noConversion"/>
  </si>
  <si>
    <t>TOC 2,728</t>
    <phoneticPr fontId="4" type="noConversion"/>
  </si>
  <si>
    <t>포항그린
(그린바이로)</t>
    <phoneticPr fontId="4" type="noConversion"/>
  </si>
  <si>
    <t>충주그린
(에코비트
그린.충주)
돔</t>
    <phoneticPr fontId="4" type="noConversion"/>
  </si>
  <si>
    <t>7.22재개</t>
    <phoneticPr fontId="4" type="noConversion"/>
  </si>
  <si>
    <t>무안
환경
비전</t>
    <phoneticPr fontId="4" type="noConversion"/>
  </si>
  <si>
    <t>에코랜드
(제넨바이오)</t>
  </si>
  <si>
    <t>TOC 2,728</t>
  </si>
  <si>
    <t>처리량
(10,640)</t>
    <phoneticPr fontId="4" type="noConversion"/>
  </si>
  <si>
    <t>목표 처리량 : 10,640</t>
    <phoneticPr fontId="4" type="noConversion"/>
  </si>
  <si>
    <t>반입량
(9,000)</t>
    <phoneticPr fontId="4" type="noConversion"/>
  </si>
  <si>
    <t>목표 반입량 : 9,000</t>
    <phoneticPr fontId="4" type="noConversion"/>
  </si>
  <si>
    <r>
      <t>충주그린</t>
    </r>
    <r>
      <rPr>
        <sz val="8"/>
        <color theme="1"/>
        <rFont val="맑은 고딕"/>
        <family val="3"/>
        <charset val="129"/>
        <scheme val="minor"/>
      </rPr>
      <t>(구.에코비트그린.충주)</t>
    </r>
    <phoneticPr fontId="4" type="noConversion"/>
  </si>
  <si>
    <r>
      <t>포항그린</t>
    </r>
    <r>
      <rPr>
        <sz val="10"/>
        <color theme="1"/>
        <rFont val="맑은 고딕"/>
        <family val="3"/>
        <charset val="129"/>
        <scheme val="minor"/>
      </rPr>
      <t>(구.그린바이로)</t>
    </r>
    <phoneticPr fontId="4" type="noConversion"/>
  </si>
  <si>
    <t>포스코퓨처엠양,양극재</t>
    <phoneticPr fontId="4" type="noConversion"/>
  </si>
  <si>
    <t>2026년 1월 폐수수탁 일일 반입 및 실적 현황</t>
  </si>
  <si>
    <t>1월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</si>
  <si>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</si>
  <si>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</si>
  <si>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</si>
  <si>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</si>
  <si>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</si>
  <si>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</si>
  <si>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</si>
  <si>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</si>
  <si>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</si>
  <si>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</si>
  <si>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</si>
  <si>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</si>
  <si>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</si>
  <si>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</si>
  <si>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</si>
  <si>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</si>
  <si>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</si>
  <si>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</si>
  <si>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</si>
  <si>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</si>
  <si>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</si>
  <si>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</si>
  <si>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</si>
  <si>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</si>
  <si>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</si>
  <si>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</si>
  <si>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</si>
  <si>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</si>
  <si>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</si>
  <si>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</si>
  <si>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</si>
  <si>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2026년 2월 폐수수탁 일일 반입 및 실적 현황</t>
  </si>
  <si>
    <t>2월</t>
  </si>
  <si>
    <t/>
  </si>
  <si>
    <t>2026년 3월 폐수수탁 일일 반입 및 실적 현황</t>
  </si>
  <si>
    <t>2020년</t>
  </si>
  <si>
    <t>2021년</t>
  </si>
  <si>
    <t>2022년</t>
  </si>
  <si>
    <t>2023년</t>
  </si>
  <si>
    <t>2024년</t>
  </si>
  <si>
    <t>2025년</t>
  </si>
  <si>
    <t>2026년 폐수수탁 반입 현황</t>
  </si>
  <si>
    <t>2024년 반입량</t>
  </si>
  <si>
    <t>2024년 기타일반계 원가절감</t>
  </si>
  <si>
    <t>2025년 1분기 기타일반계 원가절감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</si>
</sst>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-;\-* #,##0_-;_-* &quot;-&quot;_-;_-@_-"/>
    <numFmt numFmtId="176" formatCode="#,##0.00_);[Red]\(#,##0.00\)"/>
    <numFmt numFmtId="177" formatCode="#,##0_);[Red]\(#,##0\)"/>
    <numFmt numFmtId="178" formatCode="0.00_ "/>
    <numFmt numFmtId="179" formatCode="#,##0_ ;[Red]\-#,##0\ "/>
    <numFmt numFmtId="180" formatCode="#,##0_ "/>
    <numFmt numFmtId="181" formatCode="#,##0.00_ ;[Red]\-#,##0.00\ "/>
    <numFmt numFmtId="182" formatCode="0.0"/>
    <numFmt numFmtId="183" formatCode="0.0%"/>
    <numFmt numFmtId="184" formatCode="#,##0.0_);[Red]\(#,##0.0\)"/>
  </numFmts>
  <fonts count="7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color rgb="FFFF000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6"/>
      <name val="돋움"/>
      <family val="3"/>
      <charset val="129"/>
    </font>
    <font>
      <sz val="11"/>
      <color rgb="FFFF0000"/>
      <name val="돋움"/>
      <family val="3"/>
      <charset val="129"/>
    </font>
    <font>
      <sz val="11"/>
      <color rgb="FF0000CC"/>
      <name val="돋움"/>
      <family val="3"/>
      <charset val="129"/>
    </font>
    <font>
      <b/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u/>
      <sz val="16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0"/>
      <color rgb="FF0000CC"/>
      <name val="맑은 고딕"/>
      <family val="3"/>
      <charset val="129"/>
    </font>
    <font>
      <b/>
      <sz val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8"/>
      <color theme="4" tint="-0.249977111117893"/>
      <name val="맑은 고딕"/>
      <family val="3"/>
      <charset val="129"/>
      <scheme val="minor"/>
    </font>
    <font>
      <b/>
      <sz val="8"/>
      <color theme="5" tint="-0.249977111117893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16"/>
      <name val="돋움"/>
      <family val="3"/>
      <charset val="129"/>
    </font>
    <font>
      <b/>
      <sz val="14"/>
      <name val="돋움"/>
      <family val="3"/>
      <charset val="129"/>
    </font>
    <font>
      <sz val="9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u/>
      <sz val="28"/>
      <name val="돋움"/>
      <family val="3"/>
      <charset val="129"/>
    </font>
    <font>
      <sz val="14"/>
      <name val="돋움"/>
      <family val="3"/>
      <charset val="129"/>
    </font>
    <font>
      <b/>
      <sz val="11"/>
      <name val="돋움"/>
      <family val="3"/>
      <charset val="129"/>
    </font>
    <font>
      <sz val="12"/>
      <name val="돋움"/>
      <family val="3"/>
      <charset val="129"/>
    </font>
    <font>
      <b/>
      <sz val="14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1"/>
      <color rgb="FF0070C0"/>
      <name val="돋움"/>
      <family val="3"/>
      <charset val="129"/>
    </font>
    <font>
      <b/>
      <sz val="12"/>
      <color theme="1"/>
      <name val="돋움"/>
      <family val="3"/>
      <charset val="129"/>
    </font>
    <font>
      <b/>
      <sz val="1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rgb="FFFF0000"/>
      <name val="돋움"/>
      <family val="3"/>
      <charset val="129"/>
    </font>
    <font>
      <sz val="8"/>
      <color theme="1"/>
      <name val="돋움"/>
      <family val="3"/>
      <charset val="129"/>
    </font>
    <font>
      <sz val="8"/>
      <color rgb="FF0000CC"/>
      <name val="돋움"/>
      <family val="3"/>
      <charset val="129"/>
    </font>
    <font>
      <sz val="9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b/>
      <sz val="8"/>
      <color rgb="FF0000CC"/>
      <name val="맑은 고딕"/>
      <family val="3"/>
      <charset val="129"/>
    </font>
    <font>
      <sz val="8"/>
      <color rgb="FF0000CC"/>
      <name val="맑은 고딕"/>
      <family val="3"/>
      <charset val="129"/>
    </font>
    <font>
      <b/>
      <sz val="14"/>
      <color rgb="FF0000CC"/>
      <name val="맑은 고딕"/>
      <family val="3"/>
      <charset val="129"/>
    </font>
    <font>
      <sz val="11"/>
      <color rgb="FF0000CC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8"/>
      <color indexed="10"/>
      <name val="맑은 고딕"/>
      <family val="3"/>
      <charset val="129"/>
    </font>
    <font>
      <sz val="8"/>
      <color indexed="8"/>
      <name val="맑은 고딕"/>
      <family val="3"/>
      <charset val="129"/>
    </font>
    <font>
      <name val="맑은 고딕"/>
      <sz val="8.0"/>
      <color indexed="10"/>
      <b val="true"/>
    </font>
    <font>
      <name val="맑은 고딕"/>
      <sz val="8.0"/>
      <color indexed="8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8A968"/>
        <bgColor indexed="64"/>
      </patternFill>
    </fill>
  </fills>
  <borders count="20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auto="1"/>
      </right>
      <top/>
      <bottom/>
      <diagonal/>
    </border>
    <border>
      <left style="double">
        <color indexed="64"/>
      </left>
      <right style="double">
        <color auto="1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auto="1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auto="1"/>
      </right>
      <top/>
      <bottom style="double">
        <color auto="1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auto="1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bottom style="thin"/>
    </border>
    <border>
      <bottom style="medium"/>
    </border>
  </borders>
  <cellStyleXfs count="9">
    <xf numFmtId="0" fontId="0" fillId="0" borderId="0"/>
    <xf numFmtId="41" fontId="3" fillId="0" borderId="0" applyFont="0" applyFill="0" applyBorder="0" applyAlignment="0" applyProtection="0"/>
    <xf numFmtId="0" fontId="2" fillId="0" borderId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0" fillId="0" borderId="0"/>
    <xf numFmtId="41" fontId="40" fillId="0" borderId="0" applyFont="0" applyFill="0" applyBorder="0" applyAlignment="0" applyProtection="0">
      <alignment vertical="center"/>
    </xf>
    <xf numFmtId="0" fontId="0" fillId="0" borderId="0"/>
  </cellStyleXfs>
  <cellXfs count="1092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3" fillId="0" borderId="0" xfId="0" applyFont="1"/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178" fontId="5" fillId="0" borderId="28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0" fontId="11" fillId="13" borderId="26" xfId="0" applyFont="1" applyFill="1" applyBorder="1" applyAlignment="1">
      <alignment horizontal="center" vertical="center"/>
    </xf>
    <xf numFmtId="9" fontId="12" fillId="13" borderId="33" xfId="4" applyFont="1" applyFill="1" applyBorder="1" applyAlignment="1">
      <alignment horizontal="center" vertical="center"/>
    </xf>
    <xf numFmtId="176" fontId="11" fillId="0" borderId="36" xfId="0" applyNumberFormat="1" applyFont="1" applyBorder="1" applyAlignment="1">
      <alignment horizontal="center" vertical="center"/>
    </xf>
    <xf numFmtId="177" fontId="11" fillId="0" borderId="41" xfId="0" applyNumberFormat="1" applyFont="1" applyBorder="1" applyAlignment="1">
      <alignment horizontal="center" vertical="center"/>
    </xf>
    <xf numFmtId="177" fontId="11" fillId="0" borderId="74" xfId="0" applyNumberFormat="1" applyFont="1" applyBorder="1" applyAlignment="1">
      <alignment horizontal="center" vertical="center"/>
    </xf>
    <xf numFmtId="177" fontId="11" fillId="0" borderId="38" xfId="0" applyNumberFormat="1" applyFont="1" applyBorder="1" applyAlignment="1">
      <alignment horizontal="center" vertical="center"/>
    </xf>
    <xf numFmtId="177" fontId="11" fillId="0" borderId="46" xfId="0" applyNumberFormat="1" applyFont="1" applyBorder="1" applyAlignment="1">
      <alignment horizontal="center" vertical="center"/>
    </xf>
    <xf numFmtId="177" fontId="11" fillId="0" borderId="37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 shrinkToFit="1"/>
    </xf>
    <xf numFmtId="0" fontId="15" fillId="8" borderId="11" xfId="0" applyFont="1" applyFill="1" applyBorder="1" applyAlignment="1">
      <alignment horizontal="center" vertical="center" wrapText="1"/>
    </xf>
    <xf numFmtId="0" fontId="15" fillId="8" borderId="45" xfId="0" applyFont="1" applyFill="1" applyBorder="1" applyAlignment="1">
      <alignment horizontal="center" vertical="center" wrapText="1"/>
    </xf>
    <xf numFmtId="0" fontId="15" fillId="9" borderId="102" xfId="0" applyFont="1" applyFill="1" applyBorder="1" applyAlignment="1">
      <alignment horizontal="center" vertical="center" wrapText="1"/>
    </xf>
    <xf numFmtId="0" fontId="15" fillId="9" borderId="80" xfId="0" applyFont="1" applyFill="1" applyBorder="1" applyAlignment="1">
      <alignment horizontal="center" vertical="center" wrapText="1"/>
    </xf>
    <xf numFmtId="0" fontId="15" fillId="5" borderId="45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5" fillId="5" borderId="19" xfId="0" applyFont="1" applyFill="1" applyBorder="1" applyAlignment="1">
      <alignment horizontal="center" vertical="center" wrapText="1"/>
    </xf>
    <xf numFmtId="0" fontId="15" fillId="10" borderId="11" xfId="0" applyFont="1" applyFill="1" applyBorder="1" applyAlignment="1">
      <alignment horizontal="center" vertical="center" wrapText="1"/>
    </xf>
    <xf numFmtId="0" fontId="15" fillId="10" borderId="35" xfId="0" applyFont="1" applyFill="1" applyBorder="1" applyAlignment="1">
      <alignment horizontal="center" vertical="center" wrapText="1"/>
    </xf>
    <xf numFmtId="0" fontId="15" fillId="13" borderId="84" xfId="0" applyFont="1" applyFill="1" applyBorder="1" applyAlignment="1">
      <alignment horizontal="center" vertical="center" wrapText="1"/>
    </xf>
    <xf numFmtId="0" fontId="15" fillId="4" borderId="91" xfId="0" applyFont="1" applyFill="1" applyBorder="1" applyAlignment="1">
      <alignment horizontal="center" vertical="center" wrapText="1"/>
    </xf>
    <xf numFmtId="0" fontId="15" fillId="8" borderId="43" xfId="0" applyFont="1" applyFill="1" applyBorder="1" applyAlignment="1">
      <alignment horizontal="center" vertical="center" wrapText="1"/>
    </xf>
    <xf numFmtId="0" fontId="15" fillId="8" borderId="31" xfId="0" applyFont="1" applyFill="1" applyBorder="1" applyAlignment="1">
      <alignment horizontal="center" vertical="center" wrapText="1"/>
    </xf>
    <xf numFmtId="0" fontId="15" fillId="8" borderId="32" xfId="0" applyFont="1" applyFill="1" applyBorder="1" applyAlignment="1">
      <alignment horizontal="center" vertical="center" wrapText="1"/>
    </xf>
    <xf numFmtId="0" fontId="15" fillId="9" borderId="82" xfId="0" applyFont="1" applyFill="1" applyBorder="1" applyAlignment="1">
      <alignment horizontal="center" vertical="center" wrapText="1"/>
    </xf>
    <xf numFmtId="3" fontId="15" fillId="9" borderId="29" xfId="0" applyNumberFormat="1" applyFont="1" applyFill="1" applyBorder="1" applyAlignment="1">
      <alignment horizontal="center" vertical="center" wrapText="1"/>
    </xf>
    <xf numFmtId="0" fontId="15" fillId="5" borderId="43" xfId="0" applyFont="1" applyFill="1" applyBorder="1" applyAlignment="1">
      <alignment horizontal="center" vertical="center" wrapText="1"/>
    </xf>
    <xf numFmtId="0" fontId="15" fillId="5" borderId="40" xfId="0" applyFont="1" applyFill="1" applyBorder="1" applyAlignment="1">
      <alignment horizontal="center" vertical="center" wrapText="1"/>
    </xf>
    <xf numFmtId="0" fontId="24" fillId="5" borderId="32" xfId="0" applyFont="1" applyFill="1" applyBorder="1" applyAlignment="1">
      <alignment horizontal="center" vertical="center" wrapText="1"/>
    </xf>
    <xf numFmtId="0" fontId="15" fillId="10" borderId="31" xfId="0" applyFont="1" applyFill="1" applyBorder="1" applyAlignment="1">
      <alignment horizontal="center" vertical="center" wrapText="1"/>
    </xf>
    <xf numFmtId="0" fontId="15" fillId="10" borderId="32" xfId="0" applyFont="1" applyFill="1" applyBorder="1" applyAlignment="1">
      <alignment horizontal="center" vertical="center" wrapText="1"/>
    </xf>
    <xf numFmtId="0" fontId="15" fillId="13" borderId="34" xfId="0" applyFont="1" applyFill="1" applyBorder="1" applyAlignment="1">
      <alignment horizontal="center" vertical="center" wrapText="1"/>
    </xf>
    <xf numFmtId="0" fontId="25" fillId="4" borderId="31" xfId="0" applyFont="1" applyFill="1" applyBorder="1" applyAlignment="1">
      <alignment horizontal="center" vertical="center" wrapText="1"/>
    </xf>
    <xf numFmtId="3" fontId="15" fillId="17" borderId="29" xfId="0" applyNumberFormat="1" applyFont="1" applyFill="1" applyBorder="1" applyAlignment="1">
      <alignment horizontal="center" vertical="center" wrapText="1"/>
    </xf>
    <xf numFmtId="9" fontId="11" fillId="0" borderId="88" xfId="4" applyFont="1" applyBorder="1" applyAlignment="1">
      <alignment horizontal="center" vertical="center"/>
    </xf>
    <xf numFmtId="180" fontId="11" fillId="0" borderId="41" xfId="0" applyNumberFormat="1" applyFont="1" applyBorder="1" applyAlignment="1">
      <alignment horizontal="center" vertical="center"/>
    </xf>
    <xf numFmtId="180" fontId="11" fillId="0" borderId="74" xfId="0" applyNumberFormat="1" applyFont="1" applyBorder="1" applyAlignment="1">
      <alignment horizontal="center" vertical="center"/>
    </xf>
    <xf numFmtId="180" fontId="11" fillId="0" borderId="38" xfId="0" applyNumberFormat="1" applyFont="1" applyBorder="1" applyAlignment="1">
      <alignment horizontal="center" vertical="center"/>
    </xf>
    <xf numFmtId="180" fontId="11" fillId="0" borderId="46" xfId="0" applyNumberFormat="1" applyFont="1" applyBorder="1" applyAlignment="1">
      <alignment horizontal="center" vertical="center"/>
    </xf>
    <xf numFmtId="180" fontId="11" fillId="0" borderId="88" xfId="0" applyNumberFormat="1" applyFont="1" applyBorder="1" applyAlignment="1">
      <alignment horizontal="center" vertical="center"/>
    </xf>
    <xf numFmtId="180" fontId="11" fillId="0" borderId="37" xfId="0" applyNumberFormat="1" applyFont="1" applyBorder="1" applyAlignment="1">
      <alignment horizontal="center" vertical="center"/>
    </xf>
    <xf numFmtId="177" fontId="12" fillId="13" borderId="44" xfId="1" applyNumberFormat="1" applyFont="1" applyFill="1" applyBorder="1" applyAlignment="1">
      <alignment horizontal="center" vertical="center"/>
    </xf>
    <xf numFmtId="177" fontId="12" fillId="13" borderId="8" xfId="1" applyNumberFormat="1" applyFont="1" applyFill="1" applyBorder="1" applyAlignment="1">
      <alignment horizontal="center" vertical="center"/>
    </xf>
    <xf numFmtId="177" fontId="12" fillId="13" borderId="9" xfId="1" applyNumberFormat="1" applyFont="1" applyFill="1" applyBorder="1" applyAlignment="1">
      <alignment horizontal="center" vertical="center"/>
    </xf>
    <xf numFmtId="177" fontId="12" fillId="13" borderId="12" xfId="1" applyNumberFormat="1" applyFont="1" applyFill="1" applyBorder="1" applyAlignment="1">
      <alignment horizontal="center" vertical="center"/>
    </xf>
    <xf numFmtId="177" fontId="12" fillId="13" borderId="21" xfId="1" applyNumberFormat="1" applyFont="1" applyFill="1" applyBorder="1" applyAlignment="1">
      <alignment horizontal="center" vertical="center"/>
    </xf>
    <xf numFmtId="177" fontId="12" fillId="13" borderId="73" xfId="1" applyNumberFormat="1" applyFont="1" applyFill="1" applyBorder="1" applyAlignment="1">
      <alignment horizontal="center" vertical="center" shrinkToFit="1"/>
    </xf>
    <xf numFmtId="177" fontId="12" fillId="13" borderId="27" xfId="1" applyNumberFormat="1" applyFont="1" applyFill="1" applyBorder="1" applyAlignment="1">
      <alignment horizontal="center" vertical="center" shrinkToFit="1"/>
    </xf>
    <xf numFmtId="0" fontId="15" fillId="8" borderId="19" xfId="0" applyFont="1" applyFill="1" applyBorder="1" applyAlignment="1">
      <alignment horizontal="center" vertical="center" wrapText="1"/>
    </xf>
    <xf numFmtId="0" fontId="15" fillId="8" borderId="112" xfId="0" applyFont="1" applyFill="1" applyBorder="1" applyAlignment="1">
      <alignment horizontal="center" vertical="center" wrapText="1"/>
    </xf>
    <xf numFmtId="177" fontId="27" fillId="0" borderId="4" xfId="0" applyNumberFormat="1" applyFont="1" applyBorder="1" applyAlignment="1">
      <alignment horizontal="center" vertical="center" wrapText="1"/>
    </xf>
    <xf numFmtId="177" fontId="27" fillId="0" borderId="118" xfId="0" applyNumberFormat="1" applyFont="1" applyBorder="1" applyAlignment="1">
      <alignment horizontal="center" vertical="center" wrapText="1"/>
    </xf>
    <xf numFmtId="177" fontId="29" fillId="0" borderId="17" xfId="0" applyNumberFormat="1" applyFont="1" applyBorder="1" applyAlignment="1">
      <alignment horizontal="center" vertical="center" wrapText="1"/>
    </xf>
    <xf numFmtId="0" fontId="21" fillId="0" borderId="116" xfId="0" applyFont="1" applyBorder="1" applyAlignment="1">
      <alignment wrapText="1"/>
    </xf>
    <xf numFmtId="182" fontId="0" fillId="0" borderId="0" xfId="0" applyNumberFormat="1" applyAlignment="1">
      <alignment vertical="center"/>
    </xf>
    <xf numFmtId="0" fontId="35" fillId="0" borderId="4" xfId="5" applyFont="1" applyBorder="1" applyAlignment="1">
      <alignment horizontal="center" vertical="center"/>
    </xf>
    <xf numFmtId="0" fontId="35" fillId="0" borderId="4" xfId="5" quotePrefix="1" applyFont="1" applyBorder="1" applyAlignment="1">
      <alignment horizontal="center" vertical="center"/>
    </xf>
    <xf numFmtId="182" fontId="35" fillId="0" borderId="4" xfId="5" applyNumberFormat="1" applyFont="1" applyBorder="1" applyAlignment="1">
      <alignment horizontal="center" vertical="center"/>
    </xf>
    <xf numFmtId="180" fontId="37" fillId="0" borderId="4" xfId="5" applyNumberFormat="1" applyFont="1" applyBorder="1" applyAlignment="1">
      <alignment horizontal="center" vertical="center"/>
    </xf>
    <xf numFmtId="0" fontId="35" fillId="0" borderId="71" xfId="5" applyFont="1" applyBorder="1" applyAlignment="1">
      <alignment horizontal="center" vertical="center"/>
    </xf>
    <xf numFmtId="0" fontId="35" fillId="0" borderId="118" xfId="5" applyFont="1" applyBorder="1" applyAlignment="1">
      <alignment horizontal="center" vertical="center"/>
    </xf>
    <xf numFmtId="0" fontId="35" fillId="0" borderId="118" xfId="5" applyFont="1" applyBorder="1">
      <alignment vertical="center"/>
    </xf>
    <xf numFmtId="0" fontId="35" fillId="0" borderId="69" xfId="5" applyFont="1" applyBorder="1" applyAlignment="1">
      <alignment horizontal="center" vertical="center"/>
    </xf>
    <xf numFmtId="0" fontId="35" fillId="0" borderId="15" xfId="5" applyFont="1" applyBorder="1" applyAlignment="1">
      <alignment horizontal="center" vertical="center" wrapText="1"/>
    </xf>
    <xf numFmtId="180" fontId="38" fillId="0" borderId="118" xfId="5" applyNumberFormat="1" applyFont="1" applyBorder="1" applyAlignment="1">
      <alignment horizontal="center" vertical="center"/>
    </xf>
    <xf numFmtId="0" fontId="39" fillId="19" borderId="122" xfId="5" applyFont="1" applyFill="1" applyBorder="1" applyAlignment="1">
      <alignment horizontal="center" vertical="center" wrapText="1"/>
    </xf>
    <xf numFmtId="177" fontId="28" fillId="0" borderId="4" xfId="0" applyNumberFormat="1" applyFont="1" applyBorder="1" applyAlignment="1">
      <alignment horizontal="center" vertical="center"/>
    </xf>
    <xf numFmtId="0" fontId="0" fillId="0" borderId="49" xfId="0" applyBorder="1"/>
    <xf numFmtId="177" fontId="29" fillId="0" borderId="133" xfId="1" applyNumberFormat="1" applyFont="1" applyBorder="1" applyAlignment="1">
      <alignment horizontal="center" vertical="center" wrapText="1"/>
    </xf>
    <xf numFmtId="177" fontId="27" fillId="0" borderId="127" xfId="1" applyNumberFormat="1" applyFont="1" applyBorder="1" applyAlignment="1">
      <alignment horizontal="center" vertical="center" wrapText="1"/>
    </xf>
    <xf numFmtId="177" fontId="27" fillId="0" borderId="128" xfId="1" applyNumberFormat="1" applyFont="1" applyBorder="1" applyAlignment="1">
      <alignment horizontal="center" vertical="center" wrapText="1"/>
    </xf>
    <xf numFmtId="177" fontId="28" fillId="0" borderId="118" xfId="0" applyNumberFormat="1" applyFont="1" applyBorder="1" applyAlignment="1">
      <alignment horizontal="center" vertical="center"/>
    </xf>
    <xf numFmtId="0" fontId="17" fillId="17" borderId="80" xfId="0" applyFont="1" applyFill="1" applyBorder="1" applyAlignment="1">
      <alignment horizontal="center" vertical="center" wrapText="1"/>
    </xf>
    <xf numFmtId="0" fontId="42" fillId="15" borderId="70" xfId="0" applyFont="1" applyFill="1" applyBorder="1" applyAlignment="1">
      <alignment horizontal="center" vertical="center" wrapText="1"/>
    </xf>
    <xf numFmtId="177" fontId="42" fillId="15" borderId="19" xfId="0" applyNumberFormat="1" applyFont="1" applyFill="1" applyBorder="1" applyAlignment="1">
      <alignment horizontal="center" vertical="center" wrapText="1"/>
    </xf>
    <xf numFmtId="177" fontId="42" fillId="15" borderId="11" xfId="0" applyNumberFormat="1" applyFont="1" applyFill="1" applyBorder="1" applyAlignment="1">
      <alignment horizontal="center" vertical="center" wrapText="1"/>
    </xf>
    <xf numFmtId="177" fontId="42" fillId="15" borderId="35" xfId="0" applyNumberFormat="1" applyFont="1" applyFill="1" applyBorder="1" applyAlignment="1">
      <alignment horizontal="center" vertical="center" wrapText="1"/>
    </xf>
    <xf numFmtId="177" fontId="42" fillId="15" borderId="105" xfId="0" applyNumberFormat="1" applyFont="1" applyFill="1" applyBorder="1" applyAlignment="1">
      <alignment horizontal="center" vertical="center"/>
    </xf>
    <xf numFmtId="9" fontId="23" fillId="15" borderId="90" xfId="4" applyFont="1" applyFill="1" applyBorder="1" applyAlignment="1">
      <alignment horizontal="center" vertical="center" wrapText="1"/>
    </xf>
    <xf numFmtId="177" fontId="42" fillId="15" borderId="57" xfId="0" applyNumberFormat="1" applyFont="1" applyFill="1" applyBorder="1" applyAlignment="1">
      <alignment horizontal="center" vertical="center" wrapText="1"/>
    </xf>
    <xf numFmtId="177" fontId="42" fillId="15" borderId="18" xfId="0" applyNumberFormat="1" applyFont="1" applyFill="1" applyBorder="1" applyAlignment="1">
      <alignment horizontal="center" vertical="center" wrapText="1"/>
    </xf>
    <xf numFmtId="177" fontId="42" fillId="15" borderId="58" xfId="0" applyNumberFormat="1" applyFont="1" applyFill="1" applyBorder="1" applyAlignment="1">
      <alignment horizontal="center" vertical="center" wrapText="1"/>
    </xf>
    <xf numFmtId="177" fontId="42" fillId="15" borderId="66" xfId="0" applyNumberFormat="1" applyFont="1" applyFill="1" applyBorder="1" applyAlignment="1">
      <alignment horizontal="center" vertical="center" wrapText="1"/>
    </xf>
    <xf numFmtId="177" fontId="42" fillId="15" borderId="59" xfId="0" applyNumberFormat="1" applyFont="1" applyFill="1" applyBorder="1" applyAlignment="1">
      <alignment horizontal="center" vertical="center"/>
    </xf>
    <xf numFmtId="177" fontId="42" fillId="15" borderId="22" xfId="0" applyNumberFormat="1" applyFont="1" applyFill="1" applyBorder="1" applyAlignment="1">
      <alignment horizontal="center" vertical="center"/>
    </xf>
    <xf numFmtId="177" fontId="42" fillId="15" borderId="60" xfId="0" applyNumberFormat="1" applyFont="1" applyFill="1" applyBorder="1" applyAlignment="1">
      <alignment horizontal="center" vertical="center"/>
    </xf>
    <xf numFmtId="177" fontId="42" fillId="15" borderId="141" xfId="0" applyNumberFormat="1" applyFont="1" applyFill="1" applyBorder="1" applyAlignment="1">
      <alignment horizontal="center" vertical="center"/>
    </xf>
    <xf numFmtId="177" fontId="42" fillId="15" borderId="6" xfId="0" applyNumberFormat="1" applyFont="1" applyFill="1" applyBorder="1" applyAlignment="1">
      <alignment horizontal="center" vertical="center" wrapText="1"/>
    </xf>
    <xf numFmtId="0" fontId="37" fillId="8" borderId="138" xfId="0" applyFont="1" applyFill="1" applyBorder="1" applyAlignment="1">
      <alignment horizontal="center" vertical="center" wrapText="1"/>
    </xf>
    <xf numFmtId="0" fontId="37" fillId="8" borderId="16" xfId="0" applyFont="1" applyFill="1" applyBorder="1" applyAlignment="1">
      <alignment horizontal="center" vertical="center" wrapText="1"/>
    </xf>
    <xf numFmtId="0" fontId="37" fillId="8" borderId="17" xfId="0" applyFont="1" applyFill="1" applyBorder="1" applyAlignment="1">
      <alignment horizontal="center" vertical="center" wrapText="1"/>
    </xf>
    <xf numFmtId="0" fontId="37" fillId="8" borderId="50" xfId="0" applyFont="1" applyFill="1" applyBorder="1" applyAlignment="1">
      <alignment horizontal="center" vertical="center" wrapText="1"/>
    </xf>
    <xf numFmtId="0" fontId="37" fillId="6" borderId="17" xfId="0" applyFont="1" applyFill="1" applyBorder="1" applyAlignment="1">
      <alignment horizontal="center" vertical="center" wrapText="1"/>
    </xf>
    <xf numFmtId="0" fontId="37" fillId="8" borderId="63" xfId="0" applyFont="1" applyFill="1" applyBorder="1" applyAlignment="1">
      <alignment horizontal="center" vertical="center" wrapText="1"/>
    </xf>
    <xf numFmtId="0" fontId="37" fillId="8" borderId="52" xfId="0" applyFont="1" applyFill="1" applyBorder="1" applyAlignment="1">
      <alignment horizontal="center" vertical="center" wrapText="1"/>
    </xf>
    <xf numFmtId="0" fontId="44" fillId="0" borderId="7" xfId="0" applyFont="1" applyBorder="1" applyAlignment="1">
      <alignment horizontal="center" vertical="center"/>
    </xf>
    <xf numFmtId="177" fontId="44" fillId="0" borderId="4" xfId="1" applyNumberFormat="1" applyFont="1" applyBorder="1" applyAlignment="1">
      <alignment horizontal="center" vertical="center"/>
    </xf>
    <xf numFmtId="177" fontId="44" fillId="0" borderId="7" xfId="1" applyNumberFormat="1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179" fontId="42" fillId="18" borderId="67" xfId="0" applyNumberFormat="1" applyFont="1" applyFill="1" applyBorder="1" applyAlignment="1">
      <alignment horizontal="center" vertical="center"/>
    </xf>
    <xf numFmtId="179" fontId="47" fillId="18" borderId="141" xfId="0" applyNumberFormat="1" applyFont="1" applyFill="1" applyBorder="1" applyAlignment="1">
      <alignment horizontal="center" vertical="center"/>
    </xf>
    <xf numFmtId="179" fontId="47" fillId="18" borderId="22" xfId="0" applyNumberFormat="1" applyFont="1" applyFill="1" applyBorder="1" applyAlignment="1">
      <alignment horizontal="center" vertical="center"/>
    </xf>
    <xf numFmtId="179" fontId="47" fillId="18" borderId="60" xfId="0" applyNumberFormat="1" applyFont="1" applyFill="1" applyBorder="1" applyAlignment="1">
      <alignment horizontal="center" vertical="center"/>
    </xf>
    <xf numFmtId="9" fontId="48" fillId="18" borderId="97" xfId="4" applyFont="1" applyFill="1" applyBorder="1" applyAlignment="1">
      <alignment horizontal="center" vertical="center"/>
    </xf>
    <xf numFmtId="179" fontId="47" fillId="18" borderId="59" xfId="0" applyNumberFormat="1" applyFont="1" applyFill="1" applyBorder="1" applyAlignment="1">
      <alignment horizontal="center" vertical="center"/>
    </xf>
    <xf numFmtId="179" fontId="47" fillId="18" borderId="67" xfId="0" applyNumberFormat="1" applyFont="1" applyFill="1" applyBorder="1" applyAlignment="1">
      <alignment horizontal="center" vertical="center"/>
    </xf>
    <xf numFmtId="177" fontId="47" fillId="18" borderId="16" xfId="0" applyNumberFormat="1" applyFont="1" applyFill="1" applyBorder="1" applyAlignment="1">
      <alignment horizontal="center" vertical="center"/>
    </xf>
    <xf numFmtId="0" fontId="44" fillId="0" borderId="4" xfId="0" applyFont="1" applyBorder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50" fillId="0" borderId="0" xfId="0" applyFont="1"/>
    <xf numFmtId="0" fontId="49" fillId="0" borderId="68" xfId="0" applyFont="1" applyBorder="1" applyAlignment="1">
      <alignment horizontal="center" vertical="center"/>
    </xf>
    <xf numFmtId="0" fontId="49" fillId="0" borderId="71" xfId="0" applyFont="1" applyBorder="1" applyAlignment="1">
      <alignment horizontal="center" vertical="center"/>
    </xf>
    <xf numFmtId="179" fontId="47" fillId="3" borderId="18" xfId="0" applyNumberFormat="1" applyFont="1" applyFill="1" applyBorder="1" applyAlignment="1">
      <alignment horizontal="center" vertical="center"/>
    </xf>
    <xf numFmtId="180" fontId="31" fillId="3" borderId="58" xfId="0" applyNumberFormat="1" applyFont="1" applyFill="1" applyBorder="1" applyAlignment="1">
      <alignment horizontal="center" vertical="center"/>
    </xf>
    <xf numFmtId="180" fontId="42" fillId="3" borderId="106" xfId="0" applyNumberFormat="1" applyFont="1" applyFill="1" applyBorder="1" applyAlignment="1">
      <alignment horizontal="center" vertical="center"/>
    </xf>
    <xf numFmtId="180" fontId="47" fillId="3" borderId="57" xfId="0" applyNumberFormat="1" applyFont="1" applyFill="1" applyBorder="1" applyAlignment="1">
      <alignment horizontal="center" vertical="center"/>
    </xf>
    <xf numFmtId="180" fontId="47" fillId="3" borderId="18" xfId="0" applyNumberFormat="1" applyFont="1" applyFill="1" applyBorder="1" applyAlignment="1">
      <alignment horizontal="center" vertical="center"/>
    </xf>
    <xf numFmtId="180" fontId="47" fillId="3" borderId="58" xfId="0" applyNumberFormat="1" applyFont="1" applyFill="1" applyBorder="1" applyAlignment="1">
      <alignment horizontal="center" vertical="center"/>
    </xf>
    <xf numFmtId="9" fontId="48" fillId="13" borderId="94" xfId="3" applyFont="1" applyFill="1" applyBorder="1" applyAlignment="1">
      <alignment horizontal="center" vertical="center"/>
    </xf>
    <xf numFmtId="179" fontId="31" fillId="3" borderId="66" xfId="0" applyNumberFormat="1" applyFont="1" applyFill="1" applyBorder="1" applyAlignment="1">
      <alignment horizontal="center" vertical="center"/>
    </xf>
    <xf numFmtId="179" fontId="42" fillId="3" borderId="58" xfId="0" applyNumberFormat="1" applyFont="1" applyFill="1" applyBorder="1" applyAlignment="1">
      <alignment horizontal="center" vertical="center"/>
    </xf>
    <xf numFmtId="179" fontId="47" fillId="3" borderId="57" xfId="0" applyNumberFormat="1" applyFont="1" applyFill="1" applyBorder="1" applyAlignment="1">
      <alignment horizontal="center" vertical="center"/>
    </xf>
    <xf numFmtId="180" fontId="47" fillId="3" borderId="137" xfId="0" applyNumberFormat="1" applyFont="1" applyFill="1" applyBorder="1" applyAlignment="1">
      <alignment horizontal="center" vertical="center"/>
    </xf>
    <xf numFmtId="179" fontId="42" fillId="3" borderId="18" xfId="0" applyNumberFormat="1" applyFont="1" applyFill="1" applyBorder="1" applyAlignment="1">
      <alignment horizontal="center" vertical="center"/>
    </xf>
    <xf numFmtId="179" fontId="47" fillId="3" borderId="137" xfId="0" applyNumberFormat="1" applyFont="1" applyFill="1" applyBorder="1" applyAlignment="1">
      <alignment horizontal="center" vertical="center"/>
    </xf>
    <xf numFmtId="179" fontId="42" fillId="3" borderId="57" xfId="0" applyNumberFormat="1" applyFont="1" applyFill="1" applyBorder="1" applyAlignment="1">
      <alignment horizontal="center" vertical="center"/>
    </xf>
    <xf numFmtId="179" fontId="47" fillId="3" borderId="66" xfId="0" applyNumberFormat="1" applyFont="1" applyFill="1" applyBorder="1" applyAlignment="1">
      <alignment horizontal="center" vertical="center"/>
    </xf>
    <xf numFmtId="0" fontId="23" fillId="8" borderId="140" xfId="0" applyFont="1" applyFill="1" applyBorder="1" applyAlignment="1">
      <alignment horizontal="center" vertical="center" wrapText="1"/>
    </xf>
    <xf numFmtId="0" fontId="23" fillId="8" borderId="17" xfId="0" applyFont="1" applyFill="1" applyBorder="1" applyAlignment="1">
      <alignment horizontal="center" vertical="center" wrapText="1"/>
    </xf>
    <xf numFmtId="0" fontId="36" fillId="6" borderId="53" xfId="0" applyFont="1" applyFill="1" applyBorder="1" applyAlignment="1">
      <alignment horizontal="center" vertical="center" wrapText="1"/>
    </xf>
    <xf numFmtId="0" fontId="36" fillId="6" borderId="17" xfId="0" applyFont="1" applyFill="1" applyBorder="1" applyAlignment="1">
      <alignment horizontal="center" vertical="center" wrapText="1"/>
    </xf>
    <xf numFmtId="0" fontId="36" fillId="6" borderId="54" xfId="0" applyFont="1" applyFill="1" applyBorder="1" applyAlignment="1">
      <alignment horizontal="center" vertical="center" wrapText="1"/>
    </xf>
    <xf numFmtId="179" fontId="47" fillId="3" borderId="22" xfId="0" applyNumberFormat="1" applyFont="1" applyFill="1" applyBorder="1" applyAlignment="1">
      <alignment horizontal="center" vertical="center"/>
    </xf>
    <xf numFmtId="0" fontId="47" fillId="3" borderId="72" xfId="0" applyFont="1" applyFill="1" applyBorder="1" applyAlignment="1">
      <alignment horizontal="center" vertical="center" wrapText="1"/>
    </xf>
    <xf numFmtId="0" fontId="49" fillId="0" borderId="69" xfId="0" applyFont="1" applyBorder="1" applyAlignment="1">
      <alignment horizontal="center" vertical="center"/>
    </xf>
    <xf numFmtId="179" fontId="49" fillId="0" borderId="140" xfId="0" applyNumberFormat="1" applyFont="1" applyBorder="1" applyAlignment="1">
      <alignment horizontal="center" vertical="center"/>
    </xf>
    <xf numFmtId="179" fontId="49" fillId="0" borderId="17" xfId="0" applyNumberFormat="1" applyFont="1" applyBorder="1" applyAlignment="1">
      <alignment horizontal="center" vertical="center"/>
    </xf>
    <xf numFmtId="179" fontId="49" fillId="0" borderId="54" xfId="0" applyNumberFormat="1" applyFont="1" applyBorder="1" applyAlignment="1">
      <alignment horizontal="center" vertical="center"/>
    </xf>
    <xf numFmtId="179" fontId="49" fillId="0" borderId="103" xfId="0" applyNumberFormat="1" applyFont="1" applyBorder="1" applyAlignment="1">
      <alignment horizontal="center" vertical="center"/>
    </xf>
    <xf numFmtId="9" fontId="41" fillId="2" borderId="93" xfId="3" applyFont="1" applyFill="1" applyBorder="1" applyAlignment="1">
      <alignment horizontal="center" vertical="center"/>
    </xf>
    <xf numFmtId="179" fontId="49" fillId="0" borderId="53" xfId="0" applyNumberFormat="1" applyFont="1" applyBorder="1" applyAlignment="1">
      <alignment horizontal="center" vertical="center"/>
    </xf>
    <xf numFmtId="179" fontId="49" fillId="0" borderId="65" xfId="0" applyNumberFormat="1" applyFont="1" applyBorder="1" applyAlignment="1">
      <alignment horizontal="center" vertical="center"/>
    </xf>
    <xf numFmtId="181" fontId="49" fillId="0" borderId="53" xfId="0" applyNumberFormat="1" applyFont="1" applyBorder="1" applyAlignment="1">
      <alignment horizontal="center" vertical="center"/>
    </xf>
    <xf numFmtId="181" fontId="49" fillId="0" borderId="17" xfId="0" applyNumberFormat="1" applyFont="1" applyBorder="1" applyAlignment="1">
      <alignment horizontal="center" vertical="center"/>
    </xf>
    <xf numFmtId="181" fontId="49" fillId="0" borderId="140" xfId="0" applyNumberFormat="1" applyFont="1" applyBorder="1" applyAlignment="1">
      <alignment horizontal="center" vertical="center"/>
    </xf>
    <xf numFmtId="181" fontId="49" fillId="0" borderId="65" xfId="0" applyNumberFormat="1" applyFont="1" applyBorder="1" applyAlignment="1">
      <alignment horizontal="center" vertical="center"/>
    </xf>
    <xf numFmtId="179" fontId="49" fillId="0" borderId="7" xfId="0" applyNumberFormat="1" applyFont="1" applyBorder="1" applyAlignment="1">
      <alignment horizontal="center" vertical="center"/>
    </xf>
    <xf numFmtId="179" fontId="49" fillId="0" borderId="4" xfId="0" applyNumberFormat="1" applyFont="1" applyBorder="1" applyAlignment="1">
      <alignment horizontal="center" vertical="center"/>
    </xf>
    <xf numFmtId="179" fontId="49" fillId="0" borderId="5" xfId="0" applyNumberFormat="1" applyFont="1" applyBorder="1" applyAlignment="1">
      <alignment horizontal="center" vertical="center"/>
    </xf>
    <xf numFmtId="179" fontId="49" fillId="0" borderId="83" xfId="0" applyNumberFormat="1" applyFont="1" applyBorder="1" applyAlignment="1">
      <alignment horizontal="center" vertical="center"/>
    </xf>
    <xf numFmtId="9" fontId="41" fillId="2" borderId="24" xfId="3" applyFont="1" applyFill="1" applyBorder="1" applyAlignment="1">
      <alignment horizontal="center" vertical="center"/>
    </xf>
    <xf numFmtId="179" fontId="49" fillId="0" borderId="3" xfId="0" applyNumberFormat="1" applyFont="1" applyBorder="1" applyAlignment="1">
      <alignment horizontal="center" vertical="center"/>
    </xf>
    <xf numFmtId="179" fontId="49" fillId="0" borderId="20" xfId="0" applyNumberFormat="1" applyFont="1" applyBorder="1" applyAlignment="1">
      <alignment horizontal="center" vertical="center"/>
    </xf>
    <xf numFmtId="179" fontId="49" fillId="0" borderId="3" xfId="0" applyNumberFormat="1" applyFont="1" applyBorder="1" applyAlignment="1">
      <alignment horizontal="center" vertical="center" wrapText="1"/>
    </xf>
    <xf numFmtId="179" fontId="49" fillId="0" borderId="4" xfId="0" applyNumberFormat="1" applyFont="1" applyBorder="1" applyAlignment="1">
      <alignment horizontal="center" vertical="center" wrapText="1"/>
    </xf>
    <xf numFmtId="179" fontId="49" fillId="0" borderId="5" xfId="0" applyNumberFormat="1" applyFont="1" applyBorder="1" applyAlignment="1">
      <alignment horizontal="center" vertical="center" wrapText="1"/>
    </xf>
    <xf numFmtId="179" fontId="49" fillId="0" borderId="48" xfId="0" applyNumberFormat="1" applyFont="1" applyBorder="1" applyAlignment="1">
      <alignment horizontal="center" vertical="center"/>
    </xf>
    <xf numFmtId="179" fontId="49" fillId="0" borderId="15" xfId="0" applyNumberFormat="1" applyFont="1" applyBorder="1" applyAlignment="1">
      <alignment horizontal="center" vertical="center"/>
    </xf>
    <xf numFmtId="179" fontId="49" fillId="0" borderId="56" xfId="0" applyNumberFormat="1" applyFont="1" applyBorder="1" applyAlignment="1">
      <alignment horizontal="center" vertical="center"/>
    </xf>
    <xf numFmtId="9" fontId="41" fillId="2" borderId="96" xfId="3" applyFont="1" applyFill="1" applyBorder="1" applyAlignment="1">
      <alignment horizontal="center" vertical="center"/>
    </xf>
    <xf numFmtId="179" fontId="49" fillId="0" borderId="55" xfId="0" applyNumberFormat="1" applyFont="1" applyBorder="1" applyAlignment="1">
      <alignment horizontal="center" vertical="center"/>
    </xf>
    <xf numFmtId="179" fontId="49" fillId="0" borderId="47" xfId="0" applyNumberFormat="1" applyFont="1" applyBorder="1" applyAlignment="1">
      <alignment horizontal="center" vertical="center"/>
    </xf>
    <xf numFmtId="181" fontId="49" fillId="0" borderId="15" xfId="0" applyNumberFormat="1" applyFont="1" applyBorder="1" applyAlignment="1">
      <alignment horizontal="center" vertical="center"/>
    </xf>
    <xf numFmtId="181" fontId="49" fillId="0" borderId="48" xfId="0" applyNumberFormat="1" applyFont="1" applyBorder="1" applyAlignment="1">
      <alignment horizontal="center" vertical="center"/>
    </xf>
    <xf numFmtId="181" fontId="49" fillId="0" borderId="47" xfId="0" applyNumberFormat="1" applyFont="1" applyBorder="1" applyAlignment="1">
      <alignment horizontal="center" vertical="center"/>
    </xf>
    <xf numFmtId="9" fontId="36" fillId="6" borderId="51" xfId="0" applyNumberFormat="1" applyFont="1" applyFill="1" applyBorder="1" applyAlignment="1">
      <alignment horizontal="center" vertical="center" wrapText="1"/>
    </xf>
    <xf numFmtId="9" fontId="36" fillId="6" borderId="16" xfId="0" applyNumberFormat="1" applyFont="1" applyFill="1" applyBorder="1" applyAlignment="1">
      <alignment horizontal="center" vertical="center" wrapText="1"/>
    </xf>
    <xf numFmtId="9" fontId="36" fillId="6" borderId="52" xfId="0" applyNumberFormat="1" applyFont="1" applyFill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21" borderId="4" xfId="0" applyFont="1" applyFill="1" applyBorder="1" applyAlignment="1">
      <alignment horizontal="center" vertical="center"/>
    </xf>
    <xf numFmtId="180" fontId="28" fillId="0" borderId="4" xfId="0" applyNumberFormat="1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180" fontId="28" fillId="22" borderId="4" xfId="0" applyNumberFormat="1" applyFont="1" applyFill="1" applyBorder="1" applyAlignment="1">
      <alignment horizontal="center" vertical="center"/>
    </xf>
    <xf numFmtId="180" fontId="28" fillId="23" borderId="4" xfId="0" applyNumberFormat="1" applyFont="1" applyFill="1" applyBorder="1" applyAlignment="1">
      <alignment horizontal="center" vertical="center"/>
    </xf>
    <xf numFmtId="180" fontId="31" fillId="21" borderId="4" xfId="0" applyNumberFormat="1" applyFont="1" applyFill="1" applyBorder="1" applyAlignment="1">
      <alignment horizontal="center" vertical="center"/>
    </xf>
    <xf numFmtId="180" fontId="28" fillId="24" borderId="4" xfId="0" applyNumberFormat="1" applyFont="1" applyFill="1" applyBorder="1" applyAlignment="1">
      <alignment horizontal="center" vertical="center"/>
    </xf>
    <xf numFmtId="183" fontId="31" fillId="21" borderId="4" xfId="0" applyNumberFormat="1" applyFont="1" applyFill="1" applyBorder="1" applyAlignment="1">
      <alignment horizontal="center" vertical="center"/>
    </xf>
    <xf numFmtId="183" fontId="31" fillId="14" borderId="4" xfId="0" applyNumberFormat="1" applyFont="1" applyFill="1" applyBorder="1" applyAlignment="1">
      <alignment horizontal="center" vertical="center"/>
    </xf>
    <xf numFmtId="183" fontId="31" fillId="7" borderId="4" xfId="0" applyNumberFormat="1" applyFont="1" applyFill="1" applyBorder="1" applyAlignment="1">
      <alignment horizontal="center" vertical="center"/>
    </xf>
    <xf numFmtId="9" fontId="28" fillId="0" borderId="4" xfId="0" applyNumberFormat="1" applyFont="1" applyBorder="1" applyAlignment="1">
      <alignment horizontal="center" vertical="center"/>
    </xf>
    <xf numFmtId="0" fontId="31" fillId="14" borderId="4" xfId="0" applyFont="1" applyFill="1" applyBorder="1" applyAlignment="1">
      <alignment horizontal="center" vertical="center"/>
    </xf>
    <xf numFmtId="0" fontId="31" fillId="7" borderId="4" xfId="0" applyFont="1" applyFill="1" applyBorder="1" applyAlignment="1">
      <alignment horizontal="center" vertical="center"/>
    </xf>
    <xf numFmtId="41" fontId="28" fillId="0" borderId="0" xfId="1" applyFont="1" applyAlignment="1">
      <alignment horizontal="center" vertical="center"/>
    </xf>
    <xf numFmtId="0" fontId="31" fillId="19" borderId="4" xfId="0" applyFont="1" applyFill="1" applyBorder="1" applyAlignment="1">
      <alignment horizontal="center" vertical="center"/>
    </xf>
    <xf numFmtId="0" fontId="31" fillId="25" borderId="4" xfId="0" applyFont="1" applyFill="1" applyBorder="1" applyAlignment="1">
      <alignment horizontal="center" vertical="center"/>
    </xf>
    <xf numFmtId="180" fontId="31" fillId="25" borderId="4" xfId="0" applyNumberFormat="1" applyFont="1" applyFill="1" applyBorder="1" applyAlignment="1">
      <alignment horizontal="center" vertical="center"/>
    </xf>
    <xf numFmtId="180" fontId="31" fillId="24" borderId="4" xfId="0" applyNumberFormat="1" applyFont="1" applyFill="1" applyBorder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3" fontId="54" fillId="0" borderId="0" xfId="0" applyNumberFormat="1" applyFont="1" applyAlignment="1">
      <alignment horizontal="center" vertical="center" wrapText="1" readingOrder="1"/>
    </xf>
    <xf numFmtId="3" fontId="55" fillId="0" borderId="0" xfId="0" applyNumberFormat="1" applyFont="1" applyAlignment="1">
      <alignment horizontal="center" vertical="center" wrapText="1" readingOrder="1"/>
    </xf>
    <xf numFmtId="2" fontId="44" fillId="0" borderId="0" xfId="0" applyNumberFormat="1" applyFont="1" applyAlignment="1">
      <alignment horizontal="center" vertical="center"/>
    </xf>
    <xf numFmtId="177" fontId="42" fillId="15" borderId="22" xfId="0" applyNumberFormat="1" applyFont="1" applyFill="1" applyBorder="1" applyAlignment="1">
      <alignment horizontal="center" vertical="center" wrapText="1"/>
    </xf>
    <xf numFmtId="9" fontId="42" fillId="15" borderId="60" xfId="0" applyNumberFormat="1" applyFont="1" applyFill="1" applyBorder="1" applyAlignment="1">
      <alignment horizontal="center" vertical="center" wrapText="1"/>
    </xf>
    <xf numFmtId="177" fontId="49" fillId="0" borderId="21" xfId="1" applyNumberFormat="1" applyFont="1" applyFill="1" applyBorder="1" applyAlignment="1">
      <alignment horizontal="center" vertical="center"/>
    </xf>
    <xf numFmtId="177" fontId="49" fillId="0" borderId="17" xfId="1" applyNumberFormat="1" applyFont="1" applyFill="1" applyBorder="1" applyAlignment="1">
      <alignment horizontal="center" vertical="center"/>
    </xf>
    <xf numFmtId="9" fontId="49" fillId="0" borderId="12" xfId="4" applyFont="1" applyFill="1" applyBorder="1" applyAlignment="1">
      <alignment horizontal="center" vertical="center"/>
    </xf>
    <xf numFmtId="177" fontId="49" fillId="0" borderId="3" xfId="1" applyNumberFormat="1" applyFont="1" applyFill="1" applyBorder="1" applyAlignment="1">
      <alignment horizontal="center" vertical="center"/>
    </xf>
    <xf numFmtId="177" fontId="49" fillId="0" borderId="4" xfId="0" applyNumberFormat="1" applyFont="1" applyBorder="1" applyAlignment="1">
      <alignment horizontal="center" vertical="center"/>
    </xf>
    <xf numFmtId="9" fontId="49" fillId="0" borderId="5" xfId="4" applyFont="1" applyFill="1" applyBorder="1" applyAlignment="1">
      <alignment horizontal="center" vertical="center"/>
    </xf>
    <xf numFmtId="177" fontId="49" fillId="0" borderId="15" xfId="0" applyNumberFormat="1" applyFont="1" applyBorder="1" applyAlignment="1">
      <alignment horizontal="center" vertical="center"/>
    </xf>
    <xf numFmtId="9" fontId="49" fillId="0" borderId="56" xfId="4" applyFont="1" applyFill="1" applyBorder="1" applyAlignment="1">
      <alignment horizontal="center" vertical="center"/>
    </xf>
    <xf numFmtId="179" fontId="47" fillId="3" borderId="59" xfId="0" applyNumberFormat="1" applyFont="1" applyFill="1" applyBorder="1" applyAlignment="1">
      <alignment horizontal="center" vertical="center"/>
    </xf>
    <xf numFmtId="9" fontId="47" fillId="13" borderId="60" xfId="4" applyFont="1" applyFill="1" applyBorder="1" applyAlignment="1">
      <alignment horizontal="center" vertical="center"/>
    </xf>
    <xf numFmtId="177" fontId="47" fillId="18" borderId="51" xfId="0" applyNumberFormat="1" applyFont="1" applyFill="1" applyBorder="1" applyAlignment="1">
      <alignment horizontal="center" vertical="center"/>
    </xf>
    <xf numFmtId="9" fontId="47" fillId="18" borderId="52" xfId="4" applyFont="1" applyFill="1" applyBorder="1" applyAlignment="1">
      <alignment horizontal="center" vertical="center"/>
    </xf>
    <xf numFmtId="177" fontId="42" fillId="15" borderId="59" xfId="1" applyNumberFormat="1" applyFont="1" applyFill="1" applyBorder="1" applyAlignment="1">
      <alignment horizontal="center" vertical="center" wrapText="1"/>
    </xf>
    <xf numFmtId="9" fontId="42" fillId="15" borderId="149" xfId="0" applyNumberFormat="1" applyFont="1" applyFill="1" applyBorder="1" applyAlignment="1">
      <alignment horizontal="center" vertical="center" wrapText="1"/>
    </xf>
    <xf numFmtId="9" fontId="49" fillId="0" borderId="124" xfId="4" applyFont="1" applyFill="1" applyBorder="1" applyAlignment="1">
      <alignment horizontal="center" vertical="center"/>
    </xf>
    <xf numFmtId="9" fontId="49" fillId="0" borderId="118" xfId="4" applyFont="1" applyFill="1" applyBorder="1" applyAlignment="1">
      <alignment horizontal="center" vertical="center"/>
    </xf>
    <xf numFmtId="9" fontId="49" fillId="0" borderId="122" xfId="4" applyFont="1" applyFill="1" applyBorder="1" applyAlignment="1">
      <alignment horizontal="center" vertical="center"/>
    </xf>
    <xf numFmtId="9" fontId="47" fillId="13" borderId="149" xfId="4" applyFont="1" applyFill="1" applyBorder="1" applyAlignment="1">
      <alignment horizontal="center" vertical="center"/>
    </xf>
    <xf numFmtId="179" fontId="47" fillId="18" borderId="16" xfId="0" applyNumberFormat="1" applyFont="1" applyFill="1" applyBorder="1" applyAlignment="1">
      <alignment horizontal="center" vertical="center"/>
    </xf>
    <xf numFmtId="9" fontId="47" fillId="18" borderId="150" xfId="4" applyFont="1" applyFill="1" applyBorder="1" applyAlignment="1">
      <alignment horizontal="center" vertical="center"/>
    </xf>
    <xf numFmtId="0" fontId="17" fillId="20" borderId="142" xfId="0" applyFont="1" applyFill="1" applyBorder="1" applyAlignment="1">
      <alignment horizontal="center" vertical="center" wrapText="1"/>
    </xf>
    <xf numFmtId="3" fontId="15" fillId="20" borderId="28" xfId="0" applyNumberFormat="1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0" borderId="119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57" fillId="0" borderId="151" xfId="0" applyFont="1" applyBorder="1" applyAlignment="1">
      <alignment horizontal="center" vertical="center"/>
    </xf>
    <xf numFmtId="0" fontId="57" fillId="0" borderId="3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78" fontId="12" fillId="0" borderId="20" xfId="0" applyNumberFormat="1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178" fontId="12" fillId="0" borderId="2" xfId="0" applyNumberFormat="1" applyFont="1" applyBorder="1" applyAlignment="1">
      <alignment horizontal="center" vertical="center"/>
    </xf>
    <xf numFmtId="2" fontId="12" fillId="0" borderId="5" xfId="0" applyNumberFormat="1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0" fontId="45" fillId="0" borderId="120" xfId="0" applyFont="1" applyBorder="1" applyAlignment="1">
      <alignment horizontal="center" vertical="center"/>
    </xf>
    <xf numFmtId="9" fontId="45" fillId="22" borderId="56" xfId="4" applyFont="1" applyFill="1" applyBorder="1" applyAlignment="1">
      <alignment horizontal="center" vertical="center"/>
    </xf>
    <xf numFmtId="9" fontId="45" fillId="22" borderId="122" xfId="4" applyFont="1" applyFill="1" applyBorder="1" applyAlignment="1">
      <alignment horizontal="center" vertical="center"/>
    </xf>
    <xf numFmtId="177" fontId="45" fillId="0" borderId="55" xfId="1" applyNumberFormat="1" applyFont="1" applyBorder="1" applyAlignment="1">
      <alignment horizontal="center" vertical="center"/>
    </xf>
    <xf numFmtId="177" fontId="45" fillId="0" borderId="121" xfId="1" applyNumberFormat="1" applyFont="1" applyBorder="1" applyAlignment="1">
      <alignment horizontal="center" vertical="center"/>
    </xf>
    <xf numFmtId="177" fontId="12" fillId="13" borderId="153" xfId="1" applyNumberFormat="1" applyFont="1" applyFill="1" applyBorder="1" applyAlignment="1">
      <alignment horizontal="center" vertical="center"/>
    </xf>
    <xf numFmtId="177" fontId="11" fillId="13" borderId="23" xfId="1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4" xfId="1" applyNumberFormat="1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177" fontId="12" fillId="13" borderId="155" xfId="1" applyNumberFormat="1" applyFont="1" applyFill="1" applyBorder="1" applyAlignment="1">
      <alignment horizontal="center" vertical="center" shrinkToFit="1"/>
    </xf>
    <xf numFmtId="177" fontId="11" fillId="0" borderId="111" xfId="0" applyNumberFormat="1" applyFont="1" applyBorder="1" applyAlignment="1">
      <alignment horizontal="center" vertical="center"/>
    </xf>
    <xf numFmtId="180" fontId="11" fillId="0" borderId="111" xfId="0" applyNumberFormat="1" applyFont="1" applyBorder="1" applyAlignment="1">
      <alignment horizontal="center" vertical="center"/>
    </xf>
    <xf numFmtId="178" fontId="12" fillId="0" borderId="24" xfId="0" applyNumberFormat="1" applyFont="1" applyBorder="1" applyAlignment="1">
      <alignment horizontal="center" vertical="center"/>
    </xf>
    <xf numFmtId="178" fontId="5" fillId="0" borderId="29" xfId="0" applyNumberFormat="1" applyFont="1" applyBorder="1" applyAlignment="1">
      <alignment horizontal="center" vertical="center"/>
    </xf>
    <xf numFmtId="178" fontId="12" fillId="0" borderId="25" xfId="0" applyNumberFormat="1" applyFont="1" applyBorder="1" applyAlignment="1">
      <alignment horizontal="center" vertical="center"/>
    </xf>
    <xf numFmtId="9" fontId="12" fillId="0" borderId="5" xfId="4" applyFont="1" applyBorder="1" applyAlignment="1">
      <alignment horizontal="center" vertical="center"/>
    </xf>
    <xf numFmtId="9" fontId="5" fillId="0" borderId="32" xfId="4" applyFont="1" applyBorder="1" applyAlignment="1">
      <alignment horizontal="center" vertical="center"/>
    </xf>
    <xf numFmtId="9" fontId="12" fillId="0" borderId="12" xfId="4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7" fontId="58" fillId="0" borderId="74" xfId="1" applyNumberFormat="1" applyFont="1" applyBorder="1" applyAlignment="1">
      <alignment horizontal="center" vertical="center" wrapText="1"/>
    </xf>
    <xf numFmtId="0" fontId="62" fillId="0" borderId="17" xfId="0" applyFont="1" applyBorder="1" applyAlignment="1">
      <alignment horizontal="center" vertical="center" wrapText="1"/>
    </xf>
    <xf numFmtId="0" fontId="0" fillId="0" borderId="165" xfId="0" applyBorder="1"/>
    <xf numFmtId="0" fontId="11" fillId="26" borderId="36" xfId="0" applyFont="1" applyFill="1" applyBorder="1" applyAlignment="1">
      <alignment horizontal="center" vertical="center" shrinkToFit="1"/>
    </xf>
    <xf numFmtId="180" fontId="11" fillId="26" borderId="46" xfId="0" applyNumberFormat="1" applyFont="1" applyFill="1" applyBorder="1" applyAlignment="1">
      <alignment horizontal="center" vertical="center"/>
    </xf>
    <xf numFmtId="180" fontId="11" fillId="26" borderId="74" xfId="0" applyNumberFormat="1" applyFont="1" applyFill="1" applyBorder="1" applyAlignment="1">
      <alignment horizontal="center" vertical="center"/>
    </xf>
    <xf numFmtId="180" fontId="11" fillId="26" borderId="111" xfId="0" applyNumberFormat="1" applyFont="1" applyFill="1" applyBorder="1" applyAlignment="1">
      <alignment horizontal="center" vertical="center"/>
    </xf>
    <xf numFmtId="180" fontId="11" fillId="26" borderId="38" xfId="0" applyNumberFormat="1" applyFont="1" applyFill="1" applyBorder="1" applyAlignment="1">
      <alignment horizontal="center" vertical="center"/>
    </xf>
    <xf numFmtId="180" fontId="11" fillId="26" borderId="41" xfId="0" applyNumberFormat="1" applyFont="1" applyFill="1" applyBorder="1" applyAlignment="1">
      <alignment horizontal="center" vertical="center"/>
    </xf>
    <xf numFmtId="180" fontId="11" fillId="26" borderId="36" xfId="0" applyNumberFormat="1" applyFont="1" applyFill="1" applyBorder="1" applyAlignment="1">
      <alignment horizontal="center" vertical="center"/>
    </xf>
    <xf numFmtId="0" fontId="28" fillId="0" borderId="117" xfId="0" applyFont="1" applyBorder="1" applyAlignment="1">
      <alignment horizontal="center" vertical="center"/>
    </xf>
    <xf numFmtId="177" fontId="27" fillId="0" borderId="4" xfId="1" applyNumberFormat="1" applyFont="1" applyBorder="1" applyAlignment="1">
      <alignment horizontal="center" vertical="center" wrapText="1"/>
    </xf>
    <xf numFmtId="177" fontId="45" fillId="0" borderId="0" xfId="1" applyNumberFormat="1" applyFont="1" applyFill="1" applyBorder="1" applyAlignment="1">
      <alignment horizontal="center" vertical="center"/>
    </xf>
    <xf numFmtId="0" fontId="63" fillId="0" borderId="116" xfId="0" applyFont="1" applyBorder="1" applyAlignment="1">
      <alignment vertical="center" wrapText="1"/>
    </xf>
    <xf numFmtId="0" fontId="63" fillId="0" borderId="0" xfId="0" applyFont="1" applyAlignment="1">
      <alignment vertical="center" wrapText="1"/>
    </xf>
    <xf numFmtId="0" fontId="63" fillId="0" borderId="126" xfId="0" applyFont="1" applyBorder="1" applyAlignment="1">
      <alignment vertical="center" wrapText="1"/>
    </xf>
    <xf numFmtId="0" fontId="63" fillId="0" borderId="130" xfId="0" applyFont="1" applyBorder="1" applyAlignment="1">
      <alignment vertical="center" wrapText="1"/>
    </xf>
    <xf numFmtId="0" fontId="63" fillId="0" borderId="164" xfId="0" applyFont="1" applyBorder="1" applyAlignment="1">
      <alignment vertical="center" wrapText="1"/>
    </xf>
    <xf numFmtId="0" fontId="63" fillId="0" borderId="134" xfId="0" applyFont="1" applyBorder="1" applyAlignment="1">
      <alignment vertical="center" wrapText="1"/>
    </xf>
    <xf numFmtId="0" fontId="63" fillId="0" borderId="163" xfId="0" applyFont="1" applyBorder="1" applyAlignment="1">
      <alignment vertical="center" wrapText="1"/>
    </xf>
    <xf numFmtId="183" fontId="63" fillId="0" borderId="134" xfId="0" applyNumberFormat="1" applyFont="1" applyBorder="1" applyAlignment="1">
      <alignment vertical="center" wrapText="1"/>
    </xf>
    <xf numFmtId="183" fontId="65" fillId="0" borderId="171" xfId="4" applyNumberFormat="1" applyFont="1" applyBorder="1" applyAlignment="1">
      <alignment horizontal="center" vertical="center" wrapText="1"/>
    </xf>
    <xf numFmtId="183" fontId="65" fillId="0" borderId="112" xfId="4" applyNumberFormat="1" applyFont="1" applyBorder="1" applyAlignment="1">
      <alignment horizontal="center" vertical="center" wrapText="1"/>
    </xf>
    <xf numFmtId="183" fontId="65" fillId="0" borderId="143" xfId="4" applyNumberFormat="1" applyFont="1" applyBorder="1" applyAlignment="1">
      <alignment horizontal="center" vertical="center" wrapText="1"/>
    </xf>
    <xf numFmtId="183" fontId="65" fillId="0" borderId="144" xfId="4" applyNumberFormat="1" applyFont="1" applyBorder="1" applyAlignment="1">
      <alignment horizontal="center" vertical="center" wrapText="1"/>
    </xf>
    <xf numFmtId="9" fontId="65" fillId="0" borderId="23" xfId="0" applyNumberFormat="1" applyFont="1" applyBorder="1" applyAlignment="1">
      <alignment horizontal="center" vertical="center" wrapText="1"/>
    </xf>
    <xf numFmtId="9" fontId="65" fillId="0" borderId="142" xfId="0" applyNumberFormat="1" applyFont="1" applyBorder="1" applyAlignment="1">
      <alignment horizontal="center" vertical="center" wrapText="1"/>
    </xf>
    <xf numFmtId="177" fontId="26" fillId="0" borderId="0" xfId="1" applyNumberFormat="1" applyFont="1" applyBorder="1" applyAlignment="1">
      <alignment horizontal="center" vertical="center" wrapText="1"/>
    </xf>
    <xf numFmtId="184" fontId="26" fillId="0" borderId="0" xfId="1" applyNumberFormat="1" applyFont="1" applyBorder="1" applyAlignment="1">
      <alignment horizontal="center" vertical="center" wrapText="1"/>
    </xf>
    <xf numFmtId="176" fontId="26" fillId="0" borderId="0" xfId="1" applyNumberFormat="1" applyFont="1" applyBorder="1" applyAlignment="1">
      <alignment horizontal="center" vertical="center" wrapText="1"/>
    </xf>
    <xf numFmtId="177" fontId="26" fillId="0" borderId="0" xfId="1" applyNumberFormat="1" applyFont="1" applyBorder="1" applyAlignment="1">
      <alignment vertical="center" wrapText="1"/>
    </xf>
    <xf numFmtId="0" fontId="23" fillId="10" borderId="57" xfId="0" applyFont="1" applyFill="1" applyBorder="1" applyAlignment="1">
      <alignment horizontal="center" vertical="center" wrapText="1"/>
    </xf>
    <xf numFmtId="0" fontId="23" fillId="10" borderId="18" xfId="0" applyFont="1" applyFill="1" applyBorder="1" applyAlignment="1">
      <alignment horizontal="center" vertical="center" wrapText="1"/>
    </xf>
    <xf numFmtId="180" fontId="11" fillId="0" borderId="87" xfId="0" applyNumberFormat="1" applyFont="1" applyBorder="1" applyAlignment="1">
      <alignment horizontal="center" vertical="center"/>
    </xf>
    <xf numFmtId="180" fontId="11" fillId="26" borderId="87" xfId="0" applyNumberFormat="1" applyFont="1" applyFill="1" applyBorder="1" applyAlignment="1">
      <alignment horizontal="center" vertical="center"/>
    </xf>
    <xf numFmtId="0" fontId="15" fillId="13" borderId="40" xfId="0" applyFont="1" applyFill="1" applyBorder="1" applyAlignment="1">
      <alignment horizontal="center" vertical="center" wrapText="1"/>
    </xf>
    <xf numFmtId="0" fontId="15" fillId="4" borderId="172" xfId="0" applyFont="1" applyFill="1" applyBorder="1" applyAlignment="1">
      <alignment horizontal="center" vertical="center" wrapText="1"/>
    </xf>
    <xf numFmtId="0" fontId="25" fillId="4" borderId="43" xfId="0" applyFont="1" applyFill="1" applyBorder="1" applyAlignment="1">
      <alignment horizontal="center" vertical="center" wrapText="1"/>
    </xf>
    <xf numFmtId="0" fontId="15" fillId="4" borderId="92" xfId="0" applyFont="1" applyFill="1" applyBorder="1" applyAlignment="1">
      <alignment horizontal="center" vertical="center" wrapText="1"/>
    </xf>
    <xf numFmtId="0" fontId="25" fillId="4" borderId="32" xfId="0" applyFont="1" applyFill="1" applyBorder="1" applyAlignment="1">
      <alignment horizontal="center" vertical="center" wrapText="1"/>
    </xf>
    <xf numFmtId="0" fontId="15" fillId="27" borderId="35" xfId="0" applyFont="1" applyFill="1" applyBorder="1" applyAlignment="1">
      <alignment horizontal="center" vertical="center" wrapText="1"/>
    </xf>
    <xf numFmtId="0" fontId="15" fillId="27" borderId="32" xfId="0" applyFont="1" applyFill="1" applyBorder="1" applyAlignment="1">
      <alignment horizontal="center" vertical="center" wrapText="1"/>
    </xf>
    <xf numFmtId="0" fontId="15" fillId="13" borderId="113" xfId="0" applyFont="1" applyFill="1" applyBorder="1" applyAlignment="1">
      <alignment horizontal="center" vertical="center" wrapText="1"/>
    </xf>
    <xf numFmtId="0" fontId="15" fillId="5" borderId="174" xfId="0" applyFont="1" applyFill="1" applyBorder="1" applyAlignment="1">
      <alignment horizontal="center" vertical="center" wrapText="1"/>
    </xf>
    <xf numFmtId="0" fontId="15" fillId="5" borderId="175" xfId="0" applyFont="1" applyFill="1" applyBorder="1" applyAlignment="1">
      <alignment horizontal="center" vertical="center" wrapText="1"/>
    </xf>
    <xf numFmtId="177" fontId="12" fillId="13" borderId="123" xfId="1" applyNumberFormat="1" applyFont="1" applyFill="1" applyBorder="1" applyAlignment="1">
      <alignment horizontal="center" vertical="center"/>
    </xf>
    <xf numFmtId="177" fontId="11" fillId="0" borderId="135" xfId="0" applyNumberFormat="1" applyFont="1" applyBorder="1" applyAlignment="1">
      <alignment horizontal="center" vertical="center"/>
    </xf>
    <xf numFmtId="180" fontId="11" fillId="0" borderId="135" xfId="0" applyNumberFormat="1" applyFont="1" applyBorder="1" applyAlignment="1">
      <alignment horizontal="center" vertical="center"/>
    </xf>
    <xf numFmtId="180" fontId="11" fillId="26" borderId="135" xfId="0" applyNumberFormat="1" applyFont="1" applyFill="1" applyBorder="1" applyAlignment="1">
      <alignment horizontal="center" vertical="center"/>
    </xf>
    <xf numFmtId="0" fontId="15" fillId="13" borderId="167" xfId="0" applyFont="1" applyFill="1" applyBorder="1" applyAlignment="1">
      <alignment horizontal="center" vertical="center" wrapText="1"/>
    </xf>
    <xf numFmtId="0" fontId="15" fillId="13" borderId="160" xfId="0" applyFont="1" applyFill="1" applyBorder="1" applyAlignment="1">
      <alignment horizontal="center" vertical="center" wrapText="1"/>
    </xf>
    <xf numFmtId="0" fontId="12" fillId="0" borderId="119" xfId="0" applyFont="1" applyBorder="1" applyAlignment="1">
      <alignment horizontal="center" vertical="center"/>
    </xf>
    <xf numFmtId="0" fontId="5" fillId="0" borderId="160" xfId="0" applyFont="1" applyBorder="1" applyAlignment="1">
      <alignment horizontal="center" vertical="center"/>
    </xf>
    <xf numFmtId="0" fontId="12" fillId="0" borderId="176" xfId="0" applyFont="1" applyBorder="1" applyAlignment="1">
      <alignment horizontal="center" vertical="center"/>
    </xf>
    <xf numFmtId="177" fontId="11" fillId="0" borderId="173" xfId="0" applyNumberFormat="1" applyFont="1" applyBorder="1" applyAlignment="1">
      <alignment horizontal="center" vertical="center"/>
    </xf>
    <xf numFmtId="180" fontId="11" fillId="0" borderId="173" xfId="0" applyNumberFormat="1" applyFont="1" applyBorder="1" applyAlignment="1">
      <alignment horizontal="center" vertical="center"/>
    </xf>
    <xf numFmtId="180" fontId="11" fillId="26" borderId="173" xfId="0" applyNumberFormat="1" applyFont="1" applyFill="1" applyBorder="1" applyAlignment="1">
      <alignment horizontal="center" vertical="center"/>
    </xf>
    <xf numFmtId="9" fontId="23" fillId="10" borderId="55" xfId="0" applyNumberFormat="1" applyFont="1" applyFill="1" applyBorder="1" applyAlignment="1">
      <alignment horizontal="center" vertical="center" wrapText="1"/>
    </xf>
    <xf numFmtId="9" fontId="23" fillId="10" borderId="15" xfId="0" applyNumberFormat="1" applyFont="1" applyFill="1" applyBorder="1" applyAlignment="1">
      <alignment horizontal="center" vertical="center" wrapText="1"/>
    </xf>
    <xf numFmtId="179" fontId="42" fillId="3" borderId="137" xfId="0" applyNumberFormat="1" applyFont="1" applyFill="1" applyBorder="1" applyAlignment="1">
      <alignment horizontal="center" vertical="center"/>
    </xf>
    <xf numFmtId="179" fontId="42" fillId="3" borderId="66" xfId="0" applyNumberFormat="1" applyFont="1" applyFill="1" applyBorder="1" applyAlignment="1">
      <alignment horizontal="center" vertical="center"/>
    </xf>
    <xf numFmtId="0" fontId="0" fillId="0" borderId="75" xfId="0" applyBorder="1"/>
    <xf numFmtId="0" fontId="66" fillId="0" borderId="3" xfId="0" applyFont="1" applyBorder="1" applyAlignment="1">
      <alignment horizontal="center" vertical="center"/>
    </xf>
    <xf numFmtId="0" fontId="67" fillId="0" borderId="4" xfId="0" applyFont="1" applyBorder="1" applyAlignment="1">
      <alignment horizontal="center" vertical="center"/>
    </xf>
    <xf numFmtId="0" fontId="67" fillId="0" borderId="7" xfId="0" applyFont="1" applyBorder="1" applyAlignment="1">
      <alignment horizontal="center" vertical="center"/>
    </xf>
    <xf numFmtId="0" fontId="67" fillId="0" borderId="3" xfId="0" applyFont="1" applyBorder="1" applyAlignment="1">
      <alignment horizontal="center" vertical="center"/>
    </xf>
    <xf numFmtId="9" fontId="67" fillId="0" borderId="5" xfId="4" applyFont="1" applyBorder="1" applyAlignment="1">
      <alignment horizontal="center" vertical="center"/>
    </xf>
    <xf numFmtId="0" fontId="67" fillId="0" borderId="10" xfId="0" applyFont="1" applyBorder="1" applyAlignment="1">
      <alignment horizontal="center" vertical="center"/>
    </xf>
    <xf numFmtId="0" fontId="67" fillId="0" borderId="5" xfId="0" applyFont="1" applyBorder="1" applyAlignment="1">
      <alignment horizontal="center" vertical="center"/>
    </xf>
    <xf numFmtId="0" fontId="67" fillId="0" borderId="119" xfId="0" applyFont="1" applyBorder="1" applyAlignment="1">
      <alignment horizontal="center" vertical="center"/>
    </xf>
    <xf numFmtId="178" fontId="67" fillId="0" borderId="20" xfId="0" applyNumberFormat="1" applyFont="1" applyBorder="1" applyAlignment="1">
      <alignment horizontal="center" vertical="center"/>
    </xf>
    <xf numFmtId="178" fontId="67" fillId="0" borderId="24" xfId="0" applyNumberFormat="1" applyFont="1" applyBorder="1" applyAlignment="1">
      <alignment horizontal="center" vertical="center"/>
    </xf>
    <xf numFmtId="0" fontId="68" fillId="0" borderId="0" xfId="0" applyFont="1" applyAlignment="1">
      <alignment vertical="center" wrapText="1"/>
    </xf>
    <xf numFmtId="0" fontId="15" fillId="4" borderId="178" xfId="0" applyFont="1" applyFill="1" applyBorder="1" applyAlignment="1">
      <alignment horizontal="center" vertical="center" wrapText="1"/>
    </xf>
    <xf numFmtId="0" fontId="25" fillId="4" borderId="179" xfId="0" applyFont="1" applyFill="1" applyBorder="1" applyAlignment="1">
      <alignment horizontal="center" vertical="center" wrapText="1"/>
    </xf>
    <xf numFmtId="0" fontId="12" fillId="0" borderId="180" xfId="0" applyFont="1" applyBorder="1" applyAlignment="1">
      <alignment horizontal="center" vertical="center"/>
    </xf>
    <xf numFmtId="0" fontId="5" fillId="0" borderId="179" xfId="0" applyFont="1" applyBorder="1" applyAlignment="1">
      <alignment horizontal="center" vertical="center"/>
    </xf>
    <xf numFmtId="0" fontId="12" fillId="0" borderId="181" xfId="0" applyFont="1" applyBorder="1" applyAlignment="1">
      <alignment horizontal="center" vertical="center"/>
    </xf>
    <xf numFmtId="177" fontId="11" fillId="0" borderId="182" xfId="0" applyNumberFormat="1" applyFont="1" applyBorder="1" applyAlignment="1">
      <alignment horizontal="center" vertical="center"/>
    </xf>
    <xf numFmtId="180" fontId="11" fillId="0" borderId="183" xfId="0" applyNumberFormat="1" applyFont="1" applyBorder="1" applyAlignment="1">
      <alignment horizontal="center" vertical="center"/>
    </xf>
    <xf numFmtId="177" fontId="11" fillId="0" borderId="184" xfId="0" applyNumberFormat="1" applyFont="1" applyBorder="1" applyAlignment="1">
      <alignment horizontal="center" vertical="center"/>
    </xf>
    <xf numFmtId="180" fontId="11" fillId="0" borderId="184" xfId="0" applyNumberFormat="1" applyFont="1" applyBorder="1" applyAlignment="1">
      <alignment horizontal="center" vertical="center"/>
    </xf>
    <xf numFmtId="0" fontId="15" fillId="5" borderId="161" xfId="0" applyFont="1" applyFill="1" applyBorder="1" applyAlignment="1">
      <alignment horizontal="center" vertical="center" wrapText="1"/>
    </xf>
    <xf numFmtId="0" fontId="15" fillId="10" borderId="172" xfId="0" applyFont="1" applyFill="1" applyBorder="1" applyAlignment="1">
      <alignment horizontal="center" vertical="center" wrapText="1"/>
    </xf>
    <xf numFmtId="0" fontId="15" fillId="10" borderId="43" xfId="0" applyFont="1" applyFill="1" applyBorder="1" applyAlignment="1">
      <alignment horizontal="center" vertical="center" wrapText="1"/>
    </xf>
    <xf numFmtId="0" fontId="15" fillId="5" borderId="167" xfId="0" applyFont="1" applyFill="1" applyBorder="1" applyAlignment="1">
      <alignment horizontal="center" vertical="center" wrapText="1"/>
    </xf>
    <xf numFmtId="0" fontId="15" fillId="5" borderId="113" xfId="0" applyFont="1" applyFill="1" applyBorder="1" applyAlignment="1">
      <alignment horizontal="center" vertical="center" wrapText="1"/>
    </xf>
    <xf numFmtId="0" fontId="15" fillId="5" borderId="92" xfId="0" applyFont="1" applyFill="1" applyBorder="1" applyAlignment="1">
      <alignment horizontal="center" vertical="center" wrapText="1"/>
    </xf>
    <xf numFmtId="0" fontId="15" fillId="11" borderId="154" xfId="0" applyFont="1" applyFill="1" applyBorder="1" applyAlignment="1">
      <alignment horizontal="center" vertical="center" wrapText="1"/>
    </xf>
    <xf numFmtId="0" fontId="11" fillId="11" borderId="169" xfId="0" applyFont="1" applyFill="1" applyBorder="1" applyAlignment="1">
      <alignment horizontal="center" vertical="center" wrapText="1"/>
    </xf>
    <xf numFmtId="0" fontId="12" fillId="0" borderId="188" xfId="0" applyFont="1" applyBorder="1" applyAlignment="1">
      <alignment horizontal="center" vertical="center"/>
    </xf>
    <xf numFmtId="0" fontId="67" fillId="0" borderId="188" xfId="0" applyFont="1" applyBorder="1" applyAlignment="1">
      <alignment horizontal="center" vertical="center"/>
    </xf>
    <xf numFmtId="0" fontId="5" fillId="0" borderId="189" xfId="0" applyFont="1" applyBorder="1" applyAlignment="1">
      <alignment horizontal="center" vertical="center"/>
    </xf>
    <xf numFmtId="0" fontId="12" fillId="0" borderId="190" xfId="0" applyFont="1" applyBorder="1" applyAlignment="1">
      <alignment horizontal="center" vertical="center"/>
    </xf>
    <xf numFmtId="177" fontId="12" fillId="13" borderId="176" xfId="1" applyNumberFormat="1" applyFont="1" applyFill="1" applyBorder="1" applyAlignment="1">
      <alignment horizontal="center" vertical="center"/>
    </xf>
    <xf numFmtId="176" fontId="12" fillId="13" borderId="190" xfId="1" applyNumberFormat="1" applyFont="1" applyFill="1" applyBorder="1" applyAlignment="1">
      <alignment horizontal="center" vertical="center"/>
    </xf>
    <xf numFmtId="177" fontId="12" fillId="13" borderId="134" xfId="1" applyNumberFormat="1" applyFont="1" applyFill="1" applyBorder="1" applyAlignment="1">
      <alignment horizontal="center" vertical="center"/>
    </xf>
    <xf numFmtId="0" fontId="67" fillId="0" borderId="180" xfId="0" applyFont="1" applyBorder="1" applyAlignment="1">
      <alignment horizontal="center" vertical="center"/>
    </xf>
    <xf numFmtId="177" fontId="12" fillId="13" borderId="109" xfId="1" applyNumberFormat="1" applyFont="1" applyFill="1" applyBorder="1" applyAlignment="1">
      <alignment horizontal="center" vertical="center"/>
    </xf>
    <xf numFmtId="180" fontId="11" fillId="26" borderId="37" xfId="0" applyNumberFormat="1" applyFont="1" applyFill="1" applyBorder="1" applyAlignment="1">
      <alignment horizontal="center" vertical="center"/>
    </xf>
    <xf numFmtId="176" fontId="12" fillId="0" borderId="20" xfId="1" applyNumberFormat="1" applyFont="1" applyBorder="1" applyAlignment="1">
      <alignment horizontal="center" vertical="center" wrapText="1"/>
    </xf>
    <xf numFmtId="184" fontId="12" fillId="0" borderId="20" xfId="1" applyNumberFormat="1" applyFont="1" applyBorder="1" applyAlignment="1">
      <alignment horizontal="center" vertical="center" wrapText="1"/>
    </xf>
    <xf numFmtId="2" fontId="12" fillId="0" borderId="119" xfId="0" applyNumberFormat="1" applyFont="1" applyBorder="1" applyAlignment="1">
      <alignment horizontal="center" vertical="center"/>
    </xf>
    <xf numFmtId="0" fontId="66" fillId="0" borderId="108" xfId="0" applyFont="1" applyBorder="1" applyAlignment="1">
      <alignment horizontal="center" vertical="center"/>
    </xf>
    <xf numFmtId="0" fontId="67" fillId="0" borderId="112" xfId="0" applyFont="1" applyBorder="1" applyAlignment="1">
      <alignment horizontal="center" vertical="center"/>
    </xf>
    <xf numFmtId="2" fontId="67" fillId="0" borderId="112" xfId="0" applyNumberFormat="1" applyFont="1" applyBorder="1" applyAlignment="1">
      <alignment horizontal="center" vertical="center"/>
    </xf>
    <xf numFmtId="2" fontId="67" fillId="0" borderId="145" xfId="0" applyNumberFormat="1" applyFont="1" applyBorder="1" applyAlignment="1">
      <alignment horizontal="center" vertical="center"/>
    </xf>
    <xf numFmtId="0" fontId="67" fillId="0" borderId="108" xfId="0" applyFont="1" applyBorder="1" applyAlignment="1">
      <alignment horizontal="center" vertical="center"/>
    </xf>
    <xf numFmtId="9" fontId="67" fillId="0" borderId="143" xfId="4" applyFont="1" applyBorder="1" applyAlignment="1">
      <alignment horizontal="center" vertical="center"/>
    </xf>
    <xf numFmtId="2" fontId="67" fillId="0" borderId="144" xfId="0" applyNumberFormat="1" applyFont="1" applyBorder="1" applyAlignment="1">
      <alignment horizontal="center" vertical="center"/>
    </xf>
    <xf numFmtId="0" fontId="67" fillId="0" borderId="145" xfId="0" applyFont="1" applyBorder="1" applyAlignment="1">
      <alignment horizontal="center" vertical="center"/>
    </xf>
    <xf numFmtId="0" fontId="67" fillId="0" borderId="187" xfId="0" applyFont="1" applyBorder="1" applyAlignment="1">
      <alignment horizontal="center" vertical="center"/>
    </xf>
    <xf numFmtId="0" fontId="67" fillId="0" borderId="144" xfId="0" applyFont="1" applyBorder="1" applyAlignment="1">
      <alignment horizontal="center" vertical="center"/>
    </xf>
    <xf numFmtId="0" fontId="67" fillId="0" borderId="143" xfId="0" applyFont="1" applyBorder="1" applyAlignment="1">
      <alignment horizontal="center" vertical="center"/>
    </xf>
    <xf numFmtId="0" fontId="67" fillId="0" borderId="177" xfId="0" applyFont="1" applyBorder="1" applyAlignment="1">
      <alignment horizontal="center" vertical="center"/>
    </xf>
    <xf numFmtId="0" fontId="67" fillId="0" borderId="191" xfId="0" applyFont="1" applyBorder="1" applyAlignment="1">
      <alignment horizontal="center" vertical="center"/>
    </xf>
    <xf numFmtId="178" fontId="67" fillId="0" borderId="142" xfId="0" applyNumberFormat="1" applyFont="1" applyBorder="1" applyAlignment="1">
      <alignment horizontal="center" vertical="center"/>
    </xf>
    <xf numFmtId="178" fontId="67" fillId="0" borderId="80" xfId="0" applyNumberFormat="1" applyFont="1" applyBorder="1" applyAlignment="1">
      <alignment horizontal="center" vertical="center"/>
    </xf>
    <xf numFmtId="2" fontId="67" fillId="0" borderId="4" xfId="0" applyNumberFormat="1" applyFont="1" applyBorder="1" applyAlignment="1">
      <alignment horizontal="center" vertical="center"/>
    </xf>
    <xf numFmtId="2" fontId="67" fillId="0" borderId="7" xfId="0" applyNumberFormat="1" applyFont="1" applyBorder="1" applyAlignment="1">
      <alignment horizontal="center" vertical="center"/>
    </xf>
    <xf numFmtId="2" fontId="67" fillId="0" borderId="10" xfId="0" applyNumberFormat="1" applyFont="1" applyBorder="1" applyAlignment="1">
      <alignment horizontal="center" vertical="center"/>
    </xf>
    <xf numFmtId="2" fontId="12" fillId="0" borderId="12" xfId="0" applyNumberFormat="1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2" fillId="0" borderId="193" xfId="0" applyFont="1" applyBorder="1" applyAlignment="1">
      <alignment horizontal="center" vertical="center"/>
    </xf>
    <xf numFmtId="0" fontId="12" fillId="0" borderId="19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9" fontId="12" fillId="0" borderId="30" xfId="4" applyFont="1" applyBorder="1" applyAlignment="1">
      <alignment horizontal="center" vertical="center"/>
    </xf>
    <xf numFmtId="0" fontId="12" fillId="0" borderId="195" xfId="0" applyFont="1" applyBorder="1" applyAlignment="1">
      <alignment horizontal="center" vertical="center"/>
    </xf>
    <xf numFmtId="0" fontId="12" fillId="0" borderId="157" xfId="0" applyFont="1" applyBorder="1" applyAlignment="1">
      <alignment horizontal="center" vertical="center"/>
    </xf>
    <xf numFmtId="2" fontId="12" fillId="0" borderId="30" xfId="0" applyNumberFormat="1" applyFont="1" applyBorder="1" applyAlignment="1">
      <alignment horizontal="center" vertical="center"/>
    </xf>
    <xf numFmtId="0" fontId="12" fillId="0" borderId="163" xfId="0" applyFont="1" applyBorder="1" applyAlignment="1">
      <alignment horizontal="center" vertical="center"/>
    </xf>
    <xf numFmtId="0" fontId="12" fillId="0" borderId="183" xfId="0" applyFont="1" applyBorder="1" applyAlignment="1">
      <alignment horizontal="center" vertical="center"/>
    </xf>
    <xf numFmtId="178" fontId="12" fillId="0" borderId="23" xfId="0" applyNumberFormat="1" applyFont="1" applyBorder="1" applyAlignment="1">
      <alignment horizontal="center" vertical="center"/>
    </xf>
    <xf numFmtId="178" fontId="12" fillId="0" borderId="33" xfId="0" applyNumberFormat="1" applyFont="1" applyBorder="1" applyAlignment="1">
      <alignment horizontal="center" vertical="center"/>
    </xf>
    <xf numFmtId="0" fontId="47" fillId="18" borderId="146" xfId="0" applyFont="1" applyFill="1" applyBorder="1" applyAlignment="1">
      <alignment horizontal="center" vertical="center" wrapText="1"/>
    </xf>
    <xf numFmtId="179" fontId="47" fillId="18" borderId="137" xfId="0" applyNumberFormat="1" applyFont="1" applyFill="1" applyBorder="1" applyAlignment="1">
      <alignment horizontal="center" vertical="center"/>
    </xf>
    <xf numFmtId="179" fontId="47" fillId="18" borderId="18" xfId="0" applyNumberFormat="1" applyFont="1" applyFill="1" applyBorder="1" applyAlignment="1">
      <alignment horizontal="center" vertical="center"/>
    </xf>
    <xf numFmtId="179" fontId="47" fillId="18" borderId="58" xfId="0" applyNumberFormat="1" applyFont="1" applyFill="1" applyBorder="1" applyAlignment="1">
      <alignment horizontal="center" vertical="center"/>
    </xf>
    <xf numFmtId="179" fontId="47" fillId="18" borderId="106" xfId="0" applyNumberFormat="1" applyFont="1" applyFill="1" applyBorder="1" applyAlignment="1">
      <alignment horizontal="center" vertical="center"/>
    </xf>
    <xf numFmtId="0" fontId="63" fillId="0" borderId="46" xfId="0" applyFont="1" applyBorder="1" applyAlignment="1">
      <alignment horizontal="center" vertical="center"/>
    </xf>
    <xf numFmtId="9" fontId="63" fillId="0" borderId="74" xfId="0" applyNumberFormat="1" applyFont="1" applyBorder="1" applyAlignment="1">
      <alignment horizontal="center" vertical="center"/>
    </xf>
    <xf numFmtId="0" fontId="63" fillId="0" borderId="74" xfId="0" applyFont="1" applyBorder="1" applyAlignment="1">
      <alignment horizontal="center" vertical="center"/>
    </xf>
    <xf numFmtId="0" fontId="63" fillId="0" borderId="111" xfId="0" applyFont="1" applyBorder="1" applyAlignment="1">
      <alignment horizontal="center" vertical="center"/>
    </xf>
    <xf numFmtId="9" fontId="63" fillId="0" borderId="36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179" fontId="70" fillId="0" borderId="0" xfId="0" applyNumberFormat="1" applyFont="1" applyAlignment="1">
      <alignment horizontal="center" vertical="center" shrinkToFit="1"/>
    </xf>
    <xf numFmtId="0" fontId="66" fillId="0" borderId="0" xfId="0" applyFont="1" applyAlignment="1">
      <alignment horizontal="center" vertical="center" wrapText="1"/>
    </xf>
    <xf numFmtId="176" fontId="5" fillId="0" borderId="0" xfId="1" applyNumberFormat="1" applyFont="1" applyFill="1" applyBorder="1" applyAlignment="1">
      <alignment horizontal="center" vertical="center" wrapText="1"/>
    </xf>
    <xf numFmtId="176" fontId="67" fillId="0" borderId="0" xfId="1" applyNumberFormat="1" applyFont="1" applyFill="1" applyBorder="1" applyAlignment="1">
      <alignment horizontal="center" vertical="center" wrapText="1"/>
    </xf>
    <xf numFmtId="184" fontId="67" fillId="0" borderId="0" xfId="1" applyNumberFormat="1" applyFont="1" applyFill="1" applyBorder="1" applyAlignment="1">
      <alignment horizontal="center" vertical="center" wrapText="1"/>
    </xf>
    <xf numFmtId="176" fontId="69" fillId="0" borderId="0" xfId="1" applyNumberFormat="1" applyFont="1" applyFill="1" applyBorder="1" applyAlignment="1">
      <alignment horizontal="center" vertical="center" wrapText="1"/>
    </xf>
    <xf numFmtId="184" fontId="5" fillId="0" borderId="0" xfId="1" applyNumberFormat="1" applyFont="1" applyFill="1" applyBorder="1" applyAlignment="1">
      <alignment horizontal="center" vertical="center" wrapText="1"/>
    </xf>
    <xf numFmtId="176" fontId="30" fillId="0" borderId="0" xfId="1" applyNumberFormat="1" applyFont="1" applyFill="1" applyBorder="1" applyAlignment="1">
      <alignment horizontal="center" vertical="center" wrapText="1"/>
    </xf>
    <xf numFmtId="177" fontId="30" fillId="0" borderId="0" xfId="1" applyNumberFormat="1" applyFont="1" applyFill="1" applyBorder="1" applyAlignment="1">
      <alignment horizontal="center" vertical="center" wrapText="1"/>
    </xf>
    <xf numFmtId="177" fontId="5" fillId="0" borderId="0" xfId="1" applyNumberFormat="1" applyFont="1" applyFill="1" applyBorder="1" applyAlignment="1">
      <alignment horizontal="center" vertical="center" wrapText="1"/>
    </xf>
    <xf numFmtId="176" fontId="12" fillId="0" borderId="0" xfId="1" applyNumberFormat="1" applyFont="1" applyFill="1" applyBorder="1" applyAlignment="1">
      <alignment horizontal="center" vertical="center" wrapText="1"/>
    </xf>
    <xf numFmtId="184" fontId="12" fillId="0" borderId="0" xfId="1" applyNumberFormat="1" applyFont="1" applyFill="1" applyBorder="1" applyAlignment="1">
      <alignment horizontal="center" vertical="center" wrapText="1"/>
    </xf>
    <xf numFmtId="176" fontId="26" fillId="0" borderId="0" xfId="1" applyNumberFormat="1" applyFont="1" applyFill="1" applyBorder="1" applyAlignment="1">
      <alignment horizontal="center" vertical="center" wrapText="1"/>
    </xf>
    <xf numFmtId="177" fontId="26" fillId="0" borderId="0" xfId="1" applyNumberFormat="1" applyFont="1" applyFill="1" applyBorder="1" applyAlignment="1">
      <alignment horizontal="center" vertical="center" wrapText="1"/>
    </xf>
    <xf numFmtId="179" fontId="31" fillId="25" borderId="4" xfId="0" applyNumberFormat="1" applyFont="1" applyFill="1" applyBorder="1" applyAlignment="1">
      <alignment horizontal="center" vertical="center"/>
    </xf>
    <xf numFmtId="9" fontId="31" fillId="25" borderId="4" xfId="4" applyFont="1" applyFill="1" applyBorder="1" applyAlignment="1">
      <alignment horizontal="center" vertical="center"/>
    </xf>
    <xf numFmtId="9" fontId="53" fillId="25" borderId="4" xfId="4" applyFont="1" applyFill="1" applyBorder="1" applyAlignment="1">
      <alignment horizontal="center" vertical="center"/>
    </xf>
    <xf numFmtId="180" fontId="31" fillId="0" borderId="4" xfId="0" applyNumberFormat="1" applyFont="1" applyBorder="1" applyAlignment="1">
      <alignment horizontal="center" vertical="center"/>
    </xf>
    <xf numFmtId="180" fontId="31" fillId="22" borderId="4" xfId="0" applyNumberFormat="1" applyFont="1" applyFill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67" fillId="0" borderId="171" xfId="0" applyFont="1" applyBorder="1" applyAlignment="1">
      <alignment horizontal="center" vertical="center"/>
    </xf>
    <xf numFmtId="0" fontId="5" fillId="0" borderId="175" xfId="0" applyFont="1" applyBorder="1" applyAlignment="1">
      <alignment horizontal="center" vertical="center"/>
    </xf>
    <xf numFmtId="0" fontId="12" fillId="0" borderId="123" xfId="0" applyFont="1" applyBorder="1" applyAlignment="1">
      <alignment horizontal="center" vertical="center"/>
    </xf>
    <xf numFmtId="0" fontId="67" fillId="0" borderId="71" xfId="0" applyFont="1" applyBorder="1" applyAlignment="1">
      <alignment horizontal="center" vertical="center"/>
    </xf>
    <xf numFmtId="0" fontId="12" fillId="0" borderId="196" xfId="0" applyFont="1" applyBorder="1" applyAlignment="1">
      <alignment horizontal="center" vertical="center"/>
    </xf>
    <xf numFmtId="0" fontId="72" fillId="0" borderId="198" xfId="0" applyFont="1" applyBorder="1" applyAlignment="1">
      <alignment horizontal="center" vertical="center"/>
    </xf>
    <xf numFmtId="0" fontId="67" fillId="0" borderId="112" xfId="0" applyFont="1" applyBorder="1" applyAlignment="1">
      <alignment horizontal="center" vertical="center"/>
    </xf>
    <xf numFmtId="2" fontId="67" fillId="0" borderId="112" xfId="0" applyNumberFormat="1" applyFont="1" applyBorder="1" applyAlignment="1">
      <alignment horizontal="center" vertical="center"/>
    </xf>
    <xf numFmtId="2" fontId="67" fillId="0" borderId="145" xfId="0" applyNumberFormat="1" applyFont="1" applyBorder="1" applyAlignment="1">
      <alignment horizontal="center" vertical="center"/>
    </xf>
    <xf numFmtId="0" fontId="67" fillId="0" borderId="108" xfId="0" applyFont="1" applyBorder="1" applyAlignment="1">
      <alignment horizontal="center" vertical="center"/>
    </xf>
    <xf numFmtId="9" fontId="67" fillId="0" borderId="143" xfId="4" applyFont="1" applyBorder="1" applyAlignment="1">
      <alignment horizontal="center" vertical="center"/>
    </xf>
    <xf numFmtId="2" fontId="67" fillId="0" borderId="144" xfId="0" applyNumberFormat="1" applyFont="1" applyBorder="1" applyAlignment="1">
      <alignment horizontal="center" vertical="center"/>
    </xf>
    <xf numFmtId="0" fontId="67" fillId="0" borderId="145" xfId="0" applyFont="1" applyBorder="1" applyAlignment="1">
      <alignment horizontal="center" vertical="center"/>
    </xf>
    <xf numFmtId="0" fontId="67" fillId="0" borderId="171" xfId="0" applyFont="1" applyBorder="1" applyAlignment="1">
      <alignment horizontal="center" vertical="center"/>
    </xf>
    <xf numFmtId="0" fontId="67" fillId="0" borderId="187" xfId="0" applyFont="1" applyBorder="1" applyAlignment="1">
      <alignment horizontal="center" vertical="center"/>
    </xf>
    <xf numFmtId="0" fontId="67" fillId="0" borderId="144" xfId="0" applyFont="1" applyBorder="1" applyAlignment="1">
      <alignment horizontal="center" vertical="center"/>
    </xf>
    <xf numFmtId="0" fontId="67" fillId="0" borderId="143" xfId="0" applyFont="1" applyBorder="1" applyAlignment="1">
      <alignment horizontal="center" vertical="center"/>
    </xf>
    <xf numFmtId="0" fontId="67" fillId="0" borderId="177" xfId="0" applyFont="1" applyBorder="1" applyAlignment="1">
      <alignment horizontal="center" vertical="center"/>
    </xf>
    <xf numFmtId="0" fontId="67" fillId="0" borderId="191" xfId="0" applyFont="1" applyBorder="1" applyAlignment="1">
      <alignment horizontal="center" vertical="center"/>
    </xf>
    <xf numFmtId="178" fontId="67" fillId="0" borderId="142" xfId="0" applyNumberFormat="1" applyFont="1" applyBorder="1" applyAlignment="1">
      <alignment horizontal="center" vertical="center"/>
    </xf>
    <xf numFmtId="178" fontId="67" fillId="0" borderId="80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9" fontId="5" fillId="0" borderId="5" xfId="4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5" fillId="0" borderId="18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9" xfId="0" applyFont="1" applyBorder="1" applyAlignment="1">
      <alignment horizontal="center" vertical="center"/>
    </xf>
    <xf numFmtId="0" fontId="5" fillId="0" borderId="180" xfId="0" applyFont="1" applyBorder="1" applyAlignment="1">
      <alignment horizontal="center" vertical="center"/>
    </xf>
    <xf numFmtId="178" fontId="5" fillId="0" borderId="20" xfId="0" applyNumberFormat="1" applyFont="1" applyBorder="1" applyAlignment="1">
      <alignment horizontal="center" vertical="center"/>
    </xf>
    <xf numFmtId="178" fontId="5" fillId="0" borderId="24" xfId="0" applyNumberFormat="1" applyFont="1" applyBorder="1" applyAlignment="1">
      <alignment horizontal="center" vertical="center"/>
    </xf>
    <xf numFmtId="0" fontId="71" fillId="0" borderId="19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9" fontId="12" fillId="0" borderId="12" xfId="4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123" xfId="0" applyFont="1" applyBorder="1" applyAlignment="1">
      <alignment horizontal="center" vertical="center"/>
    </xf>
    <xf numFmtId="0" fontId="12" fillId="0" borderId="19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76" xfId="0" applyFont="1" applyBorder="1" applyAlignment="1">
      <alignment horizontal="center" vertical="center"/>
    </xf>
    <xf numFmtId="0" fontId="12" fillId="0" borderId="181" xfId="0" applyFont="1" applyBorder="1" applyAlignment="1">
      <alignment horizontal="center" vertical="center"/>
    </xf>
    <xf numFmtId="178" fontId="12" fillId="0" borderId="2" xfId="0" applyNumberFormat="1" applyFont="1" applyBorder="1" applyAlignment="1">
      <alignment horizontal="center" vertical="center"/>
    </xf>
    <xf numFmtId="178" fontId="12" fillId="0" borderId="25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9" fontId="12" fillId="0" borderId="5" xfId="4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12" fillId="0" borderId="188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19" xfId="0" applyFont="1" applyBorder="1" applyAlignment="1">
      <alignment horizontal="center" vertical="center"/>
    </xf>
    <xf numFmtId="0" fontId="12" fillId="0" borderId="180" xfId="0" applyFont="1" applyBorder="1" applyAlignment="1">
      <alignment horizontal="center" vertical="center"/>
    </xf>
    <xf numFmtId="178" fontId="12" fillId="0" borderId="20" xfId="0" applyNumberFormat="1" applyFont="1" applyBorder="1" applyAlignment="1">
      <alignment horizontal="center" vertical="center"/>
    </xf>
    <xf numFmtId="178" fontId="12" fillId="0" borderId="24" xfId="0" applyNumberFormat="1" applyFont="1" applyBorder="1" applyAlignment="1">
      <alignment horizontal="center" vertical="center"/>
    </xf>
    <xf numFmtId="0" fontId="71" fillId="0" borderId="199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9" fontId="12" fillId="0" borderId="32" xfId="4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175" xfId="0" applyFont="1" applyBorder="1" applyAlignment="1">
      <alignment horizontal="center" vertical="center"/>
    </xf>
    <xf numFmtId="0" fontId="12" fillId="0" borderId="189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160" xfId="0" applyFont="1" applyBorder="1" applyAlignment="1">
      <alignment horizontal="center" vertical="center"/>
    </xf>
    <xf numFmtId="0" fontId="12" fillId="0" borderId="179" xfId="0" applyFont="1" applyBorder="1" applyAlignment="1">
      <alignment horizontal="center" vertical="center"/>
    </xf>
    <xf numFmtId="178" fontId="12" fillId="0" borderId="28" xfId="0" applyNumberFormat="1" applyFont="1" applyBorder="1" applyAlignment="1">
      <alignment horizontal="center" vertical="center"/>
    </xf>
    <xf numFmtId="178" fontId="12" fillId="0" borderId="29" xfId="0" applyNumberFormat="1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2" fontId="12" fillId="0" borderId="5" xfId="0" applyNumberFormat="1" applyFont="1" applyBorder="1" applyAlignment="1">
      <alignment horizontal="center" vertical="center"/>
    </xf>
    <xf numFmtId="2" fontId="12" fillId="0" borderId="119" xfId="0" applyNumberFormat="1" applyFont="1" applyBorder="1" applyAlignment="1">
      <alignment horizontal="center" vertical="center"/>
    </xf>
    <xf numFmtId="0" fontId="67" fillId="0" borderId="4" xfId="0" applyFont="1" applyBorder="1" applyAlignment="1">
      <alignment horizontal="center" vertical="center"/>
    </xf>
    <xf numFmtId="0" fontId="67" fillId="0" borderId="7" xfId="0" applyFont="1" applyBorder="1" applyAlignment="1">
      <alignment horizontal="center" vertical="center"/>
    </xf>
    <xf numFmtId="0" fontId="67" fillId="0" borderId="3" xfId="0" applyFont="1" applyBorder="1" applyAlignment="1">
      <alignment horizontal="center" vertical="center"/>
    </xf>
    <xf numFmtId="9" fontId="67" fillId="0" borderId="5" xfId="4" applyFont="1" applyBorder="1" applyAlignment="1">
      <alignment horizontal="center" vertical="center"/>
    </xf>
    <xf numFmtId="0" fontId="67" fillId="0" borderId="10" xfId="0" applyFont="1" applyBorder="1" applyAlignment="1">
      <alignment horizontal="center" vertical="center"/>
    </xf>
    <xf numFmtId="0" fontId="67" fillId="0" borderId="71" xfId="0" applyFont="1" applyBorder="1" applyAlignment="1">
      <alignment horizontal="center" vertical="center"/>
    </xf>
    <xf numFmtId="0" fontId="67" fillId="0" borderId="188" xfId="0" applyFont="1" applyBorder="1" applyAlignment="1">
      <alignment horizontal="center" vertical="center"/>
    </xf>
    <xf numFmtId="0" fontId="67" fillId="0" borderId="5" xfId="0" applyFont="1" applyBorder="1" applyAlignment="1">
      <alignment horizontal="center" vertical="center"/>
    </xf>
    <xf numFmtId="0" fontId="67" fillId="0" borderId="119" xfId="0" applyFont="1" applyBorder="1" applyAlignment="1">
      <alignment horizontal="center" vertical="center"/>
    </xf>
    <xf numFmtId="0" fontId="67" fillId="0" borderId="180" xfId="0" applyFont="1" applyBorder="1" applyAlignment="1">
      <alignment horizontal="center" vertical="center"/>
    </xf>
    <xf numFmtId="178" fontId="67" fillId="0" borderId="20" xfId="0" applyNumberFormat="1" applyFont="1" applyBorder="1" applyAlignment="1">
      <alignment horizontal="center" vertical="center"/>
    </xf>
    <xf numFmtId="178" fontId="67" fillId="0" borderId="24" xfId="0" applyNumberFormat="1" applyFont="1" applyBorder="1" applyAlignment="1">
      <alignment horizontal="center" vertical="center"/>
    </xf>
    <xf numFmtId="2" fontId="67" fillId="0" borderId="4" xfId="0" applyNumberFormat="1" applyFont="1" applyBorder="1" applyAlignment="1">
      <alignment horizontal="center" vertical="center"/>
    </xf>
    <xf numFmtId="2" fontId="67" fillId="0" borderId="7" xfId="0" applyNumberFormat="1" applyFont="1" applyBorder="1" applyAlignment="1">
      <alignment horizontal="center" vertical="center"/>
    </xf>
    <xf numFmtId="2" fontId="67" fillId="0" borderId="10" xfId="0" applyNumberFormat="1" applyFont="1" applyBorder="1" applyAlignment="1">
      <alignment horizontal="center" vertical="center"/>
    </xf>
    <xf numFmtId="2" fontId="12" fillId="0" borderId="12" xfId="0" applyNumberFormat="1" applyFont="1" applyBorder="1" applyAlignment="1">
      <alignment horizontal="center" vertical="center"/>
    </xf>
    <xf numFmtId="0" fontId="12" fillId="0" borderId="31" xfId="1" applyNumberFormat="1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6" fontId="12" fillId="0" borderId="20" xfId="1" applyNumberFormat="1" applyFont="1" applyBorder="1" applyAlignment="1">
      <alignment horizontal="center" vertical="center" wrapText="1"/>
    </xf>
    <xf numFmtId="184" fontId="12" fillId="0" borderId="20" xfId="1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9" fontId="12" fillId="0" borderId="12" xfId="4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123" xfId="0" applyFont="1" applyBorder="1" applyAlignment="1">
      <alignment horizontal="center" vertical="center"/>
    </xf>
    <xf numFmtId="0" fontId="12" fillId="0" borderId="190" xfId="0" applyFont="1" applyBorder="1" applyAlignment="1">
      <alignment horizontal="center" vertical="center"/>
    </xf>
    <xf numFmtId="2" fontId="12" fillId="0" borderId="12" xfId="0" applyNumberFormat="1" applyFont="1" applyBorder="1" applyAlignment="1">
      <alignment horizontal="center" vertical="center"/>
    </xf>
    <xf numFmtId="0" fontId="12" fillId="0" borderId="176" xfId="0" applyFont="1" applyBorder="1" applyAlignment="1">
      <alignment horizontal="center" vertical="center"/>
    </xf>
    <xf numFmtId="0" fontId="12" fillId="0" borderId="181" xfId="0" applyFont="1" applyBorder="1" applyAlignment="1">
      <alignment horizontal="center" vertical="center"/>
    </xf>
    <xf numFmtId="178" fontId="12" fillId="0" borderId="2" xfId="0" applyNumberFormat="1" applyFont="1" applyBorder="1" applyAlignment="1">
      <alignment horizontal="center" vertical="center"/>
    </xf>
    <xf numFmtId="178" fontId="12" fillId="0" borderId="25" xfId="0" applyNumberFormat="1" applyFont="1" applyBorder="1" applyAlignment="1">
      <alignment horizontal="center" vertical="center"/>
    </xf>
    <xf numFmtId="0" fontId="71" fillId="0" borderId="198" xfId="0" applyFont="1" applyBorder="1" applyAlignment="1">
      <alignment horizontal="center" vertical="center"/>
    </xf>
    <xf numFmtId="0" fontId="71" fillId="0" borderId="199" xfId="0" applyFont="1" applyBorder="1" applyAlignment="1">
      <alignment horizontal="center" vertical="center"/>
    </xf>
    <xf numFmtId="0" fontId="67" fillId="0" borderId="74" xfId="0" applyFont="1" applyBorder="1" applyAlignment="1">
      <alignment horizontal="center" vertical="center"/>
    </xf>
    <xf numFmtId="2" fontId="67" fillId="0" borderId="74" xfId="0" applyNumberFormat="1" applyFont="1" applyBorder="1" applyAlignment="1">
      <alignment horizontal="center" vertical="center"/>
    </xf>
    <xf numFmtId="2" fontId="67" fillId="0" borderId="111" xfId="0" applyNumberFormat="1" applyFont="1" applyBorder="1" applyAlignment="1">
      <alignment horizontal="center" vertical="center"/>
    </xf>
    <xf numFmtId="0" fontId="67" fillId="0" borderId="46" xfId="0" applyFont="1" applyBorder="1" applyAlignment="1">
      <alignment horizontal="center" vertical="center"/>
    </xf>
    <xf numFmtId="9" fontId="67" fillId="0" borderId="38" xfId="4" applyFont="1" applyBorder="1" applyAlignment="1">
      <alignment horizontal="center" vertical="center"/>
    </xf>
    <xf numFmtId="2" fontId="67" fillId="0" borderId="41" xfId="0" applyNumberFormat="1" applyFont="1" applyBorder="1" applyAlignment="1">
      <alignment horizontal="center" vertical="center"/>
    </xf>
    <xf numFmtId="0" fontId="67" fillId="0" borderId="111" xfId="0" applyFont="1" applyBorder="1" applyAlignment="1">
      <alignment horizontal="center" vertical="center"/>
    </xf>
    <xf numFmtId="0" fontId="67" fillId="0" borderId="135" xfId="0" applyFont="1" applyBorder="1" applyAlignment="1">
      <alignment horizontal="center" vertical="center"/>
    </xf>
    <xf numFmtId="0" fontId="67" fillId="0" borderId="184" xfId="0" applyFont="1" applyBorder="1" applyAlignment="1">
      <alignment horizontal="center" vertical="center"/>
    </xf>
    <xf numFmtId="0" fontId="67" fillId="0" borderId="41" xfId="0" applyFont="1" applyBorder="1" applyAlignment="1">
      <alignment horizontal="center" vertical="center"/>
    </xf>
    <xf numFmtId="0" fontId="67" fillId="0" borderId="38" xfId="0" applyFont="1" applyBorder="1" applyAlignment="1">
      <alignment horizontal="center" vertical="center"/>
    </xf>
    <xf numFmtId="0" fontId="67" fillId="0" borderId="173" xfId="0" applyFont="1" applyBorder="1" applyAlignment="1">
      <alignment horizontal="center" vertical="center"/>
    </xf>
    <xf numFmtId="0" fontId="67" fillId="0" borderId="182" xfId="0" applyFont="1" applyBorder="1" applyAlignment="1">
      <alignment horizontal="center" vertical="center"/>
    </xf>
    <xf numFmtId="178" fontId="67" fillId="0" borderId="36" xfId="0" applyNumberFormat="1" applyFont="1" applyBorder="1" applyAlignment="1">
      <alignment horizontal="center" vertical="center"/>
    </xf>
    <xf numFmtId="178" fontId="67" fillId="0" borderId="88" xfId="0" applyNumberFormat="1" applyFont="1" applyBorder="1" applyAlignment="1">
      <alignment horizontal="center" vertical="center"/>
    </xf>
    <xf numFmtId="0" fontId="72" fillId="0" borderId="19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9" fontId="5" fillId="0" borderId="5" xfId="4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5" fillId="0" borderId="18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9" xfId="0" applyFont="1" applyBorder="1" applyAlignment="1">
      <alignment horizontal="center" vertical="center"/>
    </xf>
    <xf numFmtId="0" fontId="5" fillId="0" borderId="180" xfId="0" applyFont="1" applyBorder="1" applyAlignment="1">
      <alignment horizontal="center" vertical="center"/>
    </xf>
    <xf numFmtId="178" fontId="5" fillId="0" borderId="20" xfId="0" applyNumberFormat="1" applyFont="1" applyBorder="1" applyAlignment="1">
      <alignment horizontal="center" vertical="center"/>
    </xf>
    <xf numFmtId="178" fontId="5" fillId="0" borderId="24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9" fontId="12" fillId="0" borderId="12" xfId="4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123" xfId="0" applyFont="1" applyBorder="1" applyAlignment="1">
      <alignment horizontal="center" vertical="center"/>
    </xf>
    <xf numFmtId="0" fontId="12" fillId="0" borderId="19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76" xfId="0" applyFont="1" applyBorder="1" applyAlignment="1">
      <alignment horizontal="center" vertical="center"/>
    </xf>
    <xf numFmtId="0" fontId="12" fillId="0" borderId="181" xfId="0" applyFont="1" applyBorder="1" applyAlignment="1">
      <alignment horizontal="center" vertical="center"/>
    </xf>
    <xf numFmtId="178" fontId="12" fillId="0" borderId="2" xfId="0" applyNumberFormat="1" applyFont="1" applyBorder="1" applyAlignment="1">
      <alignment horizontal="center" vertical="center"/>
    </xf>
    <xf numFmtId="178" fontId="12" fillId="0" borderId="25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9" fontId="12" fillId="0" borderId="5" xfId="4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12" fillId="0" borderId="188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19" xfId="0" applyFont="1" applyBorder="1" applyAlignment="1">
      <alignment horizontal="center" vertical="center"/>
    </xf>
    <xf numFmtId="0" fontId="12" fillId="0" borderId="180" xfId="0" applyFont="1" applyBorder="1" applyAlignment="1">
      <alignment horizontal="center" vertical="center"/>
    </xf>
    <xf numFmtId="178" fontId="12" fillId="0" borderId="20" xfId="0" applyNumberFormat="1" applyFont="1" applyBorder="1" applyAlignment="1">
      <alignment horizontal="center" vertical="center"/>
    </xf>
    <xf numFmtId="178" fontId="12" fillId="0" borderId="24" xfId="0" applyNumberFormat="1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2" fontId="12" fillId="0" borderId="5" xfId="0" applyNumberFormat="1" applyFont="1" applyBorder="1" applyAlignment="1">
      <alignment horizontal="center" vertical="center"/>
    </xf>
    <xf numFmtId="2" fontId="12" fillId="0" borderId="119" xfId="0" applyNumberFormat="1" applyFont="1" applyBorder="1" applyAlignment="1">
      <alignment horizontal="center" vertical="center"/>
    </xf>
    <xf numFmtId="0" fontId="67" fillId="0" borderId="4" xfId="0" applyFont="1" applyBorder="1" applyAlignment="1">
      <alignment horizontal="center" vertical="center"/>
    </xf>
    <xf numFmtId="0" fontId="67" fillId="0" borderId="7" xfId="0" applyFont="1" applyBorder="1" applyAlignment="1">
      <alignment horizontal="center" vertical="center"/>
    </xf>
    <xf numFmtId="0" fontId="67" fillId="0" borderId="3" xfId="0" applyFont="1" applyBorder="1" applyAlignment="1">
      <alignment horizontal="center" vertical="center"/>
    </xf>
    <xf numFmtId="9" fontId="67" fillId="0" borderId="5" xfId="4" applyFont="1" applyBorder="1" applyAlignment="1">
      <alignment horizontal="center" vertical="center"/>
    </xf>
    <xf numFmtId="0" fontId="67" fillId="0" borderId="10" xfId="0" applyFont="1" applyBorder="1" applyAlignment="1">
      <alignment horizontal="center" vertical="center"/>
    </xf>
    <xf numFmtId="0" fontId="67" fillId="0" borderId="71" xfId="0" applyFont="1" applyBorder="1" applyAlignment="1">
      <alignment horizontal="center" vertical="center"/>
    </xf>
    <xf numFmtId="0" fontId="67" fillId="0" borderId="188" xfId="0" applyFont="1" applyBorder="1" applyAlignment="1">
      <alignment horizontal="center" vertical="center"/>
    </xf>
    <xf numFmtId="0" fontId="67" fillId="0" borderId="5" xfId="0" applyFont="1" applyBorder="1" applyAlignment="1">
      <alignment horizontal="center" vertical="center"/>
    </xf>
    <xf numFmtId="0" fontId="67" fillId="0" borderId="119" xfId="0" applyFont="1" applyBorder="1" applyAlignment="1">
      <alignment horizontal="center" vertical="center"/>
    </xf>
    <xf numFmtId="0" fontId="67" fillId="0" borderId="180" xfId="0" applyFont="1" applyBorder="1" applyAlignment="1">
      <alignment horizontal="center" vertical="center"/>
    </xf>
    <xf numFmtId="178" fontId="67" fillId="0" borderId="20" xfId="0" applyNumberFormat="1" applyFont="1" applyBorder="1" applyAlignment="1">
      <alignment horizontal="center" vertical="center"/>
    </xf>
    <xf numFmtId="178" fontId="67" fillId="0" borderId="24" xfId="0" applyNumberFormat="1" applyFont="1" applyBorder="1" applyAlignment="1">
      <alignment horizontal="center" vertical="center"/>
    </xf>
    <xf numFmtId="0" fontId="67" fillId="0" borderId="31" xfId="0" applyFont="1" applyBorder="1" applyAlignment="1">
      <alignment horizontal="center" vertical="center"/>
    </xf>
    <xf numFmtId="0" fontId="67" fillId="0" borderId="40" xfId="0" applyFont="1" applyBorder="1" applyAlignment="1">
      <alignment horizontal="center" vertical="center"/>
    </xf>
    <xf numFmtId="0" fontId="67" fillId="0" borderId="34" xfId="0" applyFont="1" applyBorder="1" applyAlignment="1">
      <alignment horizontal="center" vertical="center"/>
    </xf>
    <xf numFmtId="9" fontId="67" fillId="0" borderId="32" xfId="4" applyFont="1" applyBorder="1" applyAlignment="1">
      <alignment horizontal="center" vertical="center"/>
    </xf>
    <xf numFmtId="0" fontId="67" fillId="0" borderId="43" xfId="0" applyFont="1" applyBorder="1" applyAlignment="1">
      <alignment horizontal="center" vertical="center"/>
    </xf>
    <xf numFmtId="0" fontId="67" fillId="0" borderId="175" xfId="0" applyFont="1" applyBorder="1" applyAlignment="1">
      <alignment horizontal="center" vertical="center"/>
    </xf>
    <xf numFmtId="0" fontId="67" fillId="0" borderId="189" xfId="0" applyFont="1" applyBorder="1" applyAlignment="1">
      <alignment horizontal="center" vertical="center"/>
    </xf>
    <xf numFmtId="0" fontId="67" fillId="0" borderId="32" xfId="0" applyFont="1" applyBorder="1" applyAlignment="1">
      <alignment horizontal="center" vertical="center"/>
    </xf>
    <xf numFmtId="0" fontId="67" fillId="0" borderId="160" xfId="0" applyFont="1" applyBorder="1" applyAlignment="1">
      <alignment horizontal="center" vertical="center"/>
    </xf>
    <xf numFmtId="0" fontId="67" fillId="0" borderId="179" xfId="0" applyFont="1" applyBorder="1" applyAlignment="1">
      <alignment horizontal="center" vertical="center"/>
    </xf>
    <xf numFmtId="178" fontId="67" fillId="0" borderId="28" xfId="0" applyNumberFormat="1" applyFont="1" applyBorder="1" applyAlignment="1">
      <alignment horizontal="center" vertical="center"/>
    </xf>
    <xf numFmtId="178" fontId="67" fillId="0" borderId="29" xfId="0" applyNumberFormat="1" applyFont="1" applyBorder="1" applyAlignment="1">
      <alignment horizontal="center" vertical="center"/>
    </xf>
    <xf numFmtId="2" fontId="67" fillId="0" borderId="4" xfId="0" applyNumberFormat="1" applyFont="1" applyBorder="1" applyAlignment="1">
      <alignment horizontal="center" vertical="center"/>
    </xf>
    <xf numFmtId="2" fontId="67" fillId="0" borderId="7" xfId="0" applyNumberFormat="1" applyFont="1" applyBorder="1" applyAlignment="1">
      <alignment horizontal="center" vertical="center"/>
    </xf>
    <xf numFmtId="2" fontId="67" fillId="0" borderId="10" xfId="0" applyNumberFormat="1" applyFont="1" applyBorder="1" applyAlignment="1">
      <alignment horizontal="center" vertical="center"/>
    </xf>
    <xf numFmtId="2" fontId="67" fillId="0" borderId="31" xfId="0" applyNumberFormat="1" applyFont="1" applyBorder="1" applyAlignment="1">
      <alignment horizontal="center" vertical="center"/>
    </xf>
    <xf numFmtId="2" fontId="67" fillId="0" borderId="40" xfId="0" applyNumberFormat="1" applyFont="1" applyBorder="1" applyAlignment="1">
      <alignment horizontal="center" vertical="center"/>
    </xf>
    <xf numFmtId="2" fontId="67" fillId="0" borderId="43" xfId="0" applyNumberFormat="1" applyFont="1" applyBorder="1" applyAlignment="1">
      <alignment horizontal="center" vertical="center"/>
    </xf>
    <xf numFmtId="2" fontId="12" fillId="0" borderId="12" xfId="0" applyNumberFormat="1" applyFont="1" applyBorder="1" applyAlignment="1">
      <alignment horizontal="center" vertical="center"/>
    </xf>
    <xf numFmtId="0" fontId="12" fillId="0" borderId="4" xfId="1" applyNumberFormat="1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6" fontId="12" fillId="0" borderId="20" xfId="1" applyNumberFormat="1" applyFont="1" applyBorder="1" applyAlignment="1">
      <alignment horizontal="center" vertical="center" wrapText="1"/>
    </xf>
    <xf numFmtId="184" fontId="12" fillId="0" borderId="20" xfId="1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9" fontId="12" fillId="0" borderId="12" xfId="4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123" xfId="0" applyFont="1" applyBorder="1" applyAlignment="1">
      <alignment horizontal="center" vertical="center"/>
    </xf>
    <xf numFmtId="0" fontId="12" fillId="0" borderId="190" xfId="0" applyFont="1" applyBorder="1" applyAlignment="1">
      <alignment horizontal="center" vertical="center"/>
    </xf>
    <xf numFmtId="2" fontId="12" fillId="0" borderId="12" xfId="0" applyNumberFormat="1" applyFont="1" applyBorder="1" applyAlignment="1">
      <alignment horizontal="center" vertical="center"/>
    </xf>
    <xf numFmtId="0" fontId="12" fillId="0" borderId="176" xfId="0" applyFont="1" applyBorder="1" applyAlignment="1">
      <alignment horizontal="center" vertical="center"/>
    </xf>
    <xf numFmtId="0" fontId="12" fillId="0" borderId="181" xfId="0" applyFont="1" applyBorder="1" applyAlignment="1">
      <alignment horizontal="center" vertical="center"/>
    </xf>
    <xf numFmtId="178" fontId="12" fillId="0" borderId="2" xfId="0" applyNumberFormat="1" applyFont="1" applyBorder="1" applyAlignment="1">
      <alignment horizontal="center" vertical="center"/>
    </xf>
    <xf numFmtId="178" fontId="12" fillId="0" borderId="25" xfId="0" applyNumberFormat="1" applyFont="1" applyBorder="1" applyAlignment="1">
      <alignment horizontal="center" vertical="center"/>
    </xf>
    <xf numFmtId="0" fontId="71" fillId="0" borderId="198" xfId="0" applyFont="1" applyBorder="1" applyAlignment="1">
      <alignment horizontal="center" vertical="center"/>
    </xf>
    <xf numFmtId="0" fontId="71" fillId="0" borderId="199" xfId="0" applyFont="1" applyBorder="1" applyAlignment="1">
      <alignment horizontal="center" vertical="center"/>
    </xf>
    <xf numFmtId="0" fontId="67" fillId="0" borderId="74" xfId="0" applyFont="1" applyBorder="1" applyAlignment="1">
      <alignment horizontal="center" vertical="center"/>
    </xf>
    <xf numFmtId="2" fontId="67" fillId="0" borderId="74" xfId="0" applyNumberFormat="1" applyFont="1" applyBorder="1" applyAlignment="1">
      <alignment horizontal="center" vertical="center"/>
    </xf>
    <xf numFmtId="2" fontId="67" fillId="0" borderId="111" xfId="0" applyNumberFormat="1" applyFont="1" applyBorder="1" applyAlignment="1">
      <alignment horizontal="center" vertical="center"/>
    </xf>
    <xf numFmtId="0" fontId="67" fillId="0" borderId="46" xfId="0" applyFont="1" applyBorder="1" applyAlignment="1">
      <alignment horizontal="center" vertical="center"/>
    </xf>
    <xf numFmtId="9" fontId="67" fillId="0" borderId="38" xfId="4" applyFont="1" applyBorder="1" applyAlignment="1">
      <alignment horizontal="center" vertical="center"/>
    </xf>
    <xf numFmtId="2" fontId="67" fillId="0" borderId="41" xfId="0" applyNumberFormat="1" applyFont="1" applyBorder="1" applyAlignment="1">
      <alignment horizontal="center" vertical="center"/>
    </xf>
    <xf numFmtId="0" fontId="67" fillId="0" borderId="111" xfId="0" applyFont="1" applyBorder="1" applyAlignment="1">
      <alignment horizontal="center" vertical="center"/>
    </xf>
    <xf numFmtId="0" fontId="67" fillId="0" borderId="135" xfId="0" applyFont="1" applyBorder="1" applyAlignment="1">
      <alignment horizontal="center" vertical="center"/>
    </xf>
    <xf numFmtId="0" fontId="67" fillId="0" borderId="184" xfId="0" applyFont="1" applyBorder="1" applyAlignment="1">
      <alignment horizontal="center" vertical="center"/>
    </xf>
    <xf numFmtId="0" fontId="67" fillId="0" borderId="41" xfId="0" applyFont="1" applyBorder="1" applyAlignment="1">
      <alignment horizontal="center" vertical="center"/>
    </xf>
    <xf numFmtId="0" fontId="67" fillId="0" borderId="38" xfId="0" applyFont="1" applyBorder="1" applyAlignment="1">
      <alignment horizontal="center" vertical="center"/>
    </xf>
    <xf numFmtId="0" fontId="67" fillId="0" borderId="173" xfId="0" applyFont="1" applyBorder="1" applyAlignment="1">
      <alignment horizontal="center" vertical="center"/>
    </xf>
    <xf numFmtId="0" fontId="67" fillId="0" borderId="182" xfId="0" applyFont="1" applyBorder="1" applyAlignment="1">
      <alignment horizontal="center" vertical="center"/>
    </xf>
    <xf numFmtId="178" fontId="67" fillId="0" borderId="36" xfId="0" applyNumberFormat="1" applyFont="1" applyBorder="1" applyAlignment="1">
      <alignment horizontal="center" vertical="center"/>
    </xf>
    <xf numFmtId="178" fontId="67" fillId="0" borderId="88" xfId="0" applyNumberFormat="1" applyFont="1" applyBorder="1" applyAlignment="1">
      <alignment horizontal="center" vertical="center"/>
    </xf>
    <xf numFmtId="0" fontId="72" fillId="0" borderId="19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9" fontId="5" fillId="0" borderId="5" xfId="4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5" fillId="0" borderId="18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9" xfId="0" applyFont="1" applyBorder="1" applyAlignment="1">
      <alignment horizontal="center" vertical="center"/>
    </xf>
    <xf numFmtId="0" fontId="5" fillId="0" borderId="180" xfId="0" applyFont="1" applyBorder="1" applyAlignment="1">
      <alignment horizontal="center" vertical="center"/>
    </xf>
    <xf numFmtId="178" fontId="5" fillId="0" borderId="20" xfId="0" applyNumberFormat="1" applyFont="1" applyBorder="1" applyAlignment="1">
      <alignment horizontal="center" vertical="center"/>
    </xf>
    <xf numFmtId="178" fontId="5" fillId="0" borderId="24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9" fontId="12" fillId="0" borderId="12" xfId="4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123" xfId="0" applyFont="1" applyBorder="1" applyAlignment="1">
      <alignment horizontal="center" vertical="center"/>
    </xf>
    <xf numFmtId="0" fontId="12" fillId="0" borderId="19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76" xfId="0" applyFont="1" applyBorder="1" applyAlignment="1">
      <alignment horizontal="center" vertical="center"/>
    </xf>
    <xf numFmtId="0" fontId="12" fillId="0" borderId="181" xfId="0" applyFont="1" applyBorder="1" applyAlignment="1">
      <alignment horizontal="center" vertical="center"/>
    </xf>
    <xf numFmtId="178" fontId="12" fillId="0" borderId="2" xfId="0" applyNumberFormat="1" applyFont="1" applyBorder="1" applyAlignment="1">
      <alignment horizontal="center" vertical="center"/>
    </xf>
    <xf numFmtId="178" fontId="12" fillId="0" borderId="25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9" fontId="12" fillId="0" borderId="5" xfId="4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12" fillId="0" borderId="188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19" xfId="0" applyFont="1" applyBorder="1" applyAlignment="1">
      <alignment horizontal="center" vertical="center"/>
    </xf>
    <xf numFmtId="0" fontId="12" fillId="0" borderId="180" xfId="0" applyFont="1" applyBorder="1" applyAlignment="1">
      <alignment horizontal="center" vertical="center"/>
    </xf>
    <xf numFmtId="178" fontId="12" fillId="0" borderId="20" xfId="0" applyNumberFormat="1" applyFont="1" applyBorder="1" applyAlignment="1">
      <alignment horizontal="center" vertical="center"/>
    </xf>
    <xf numFmtId="178" fontId="12" fillId="0" borderId="24" xfId="0" applyNumberFormat="1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2" fontId="12" fillId="0" borderId="5" xfId="0" applyNumberFormat="1" applyFont="1" applyBorder="1" applyAlignment="1">
      <alignment horizontal="center" vertical="center"/>
    </xf>
    <xf numFmtId="2" fontId="12" fillId="0" borderId="119" xfId="0" applyNumberFormat="1" applyFont="1" applyBorder="1" applyAlignment="1">
      <alignment horizontal="center" vertical="center"/>
    </xf>
    <xf numFmtId="0" fontId="67" fillId="0" borderId="31" xfId="0" applyFont="1" applyBorder="1" applyAlignment="1">
      <alignment horizontal="center" vertical="center"/>
    </xf>
    <xf numFmtId="0" fontId="67" fillId="0" borderId="40" xfId="0" applyFont="1" applyBorder="1" applyAlignment="1">
      <alignment horizontal="center" vertical="center"/>
    </xf>
    <xf numFmtId="0" fontId="67" fillId="0" borderId="34" xfId="0" applyFont="1" applyBorder="1" applyAlignment="1">
      <alignment horizontal="center" vertical="center"/>
    </xf>
    <xf numFmtId="9" fontId="67" fillId="0" borderId="32" xfId="4" applyFont="1" applyBorder="1" applyAlignment="1">
      <alignment horizontal="center" vertical="center"/>
    </xf>
    <xf numFmtId="0" fontId="67" fillId="0" borderId="43" xfId="0" applyFont="1" applyBorder="1" applyAlignment="1">
      <alignment horizontal="center" vertical="center"/>
    </xf>
    <xf numFmtId="0" fontId="67" fillId="0" borderId="175" xfId="0" applyFont="1" applyBorder="1" applyAlignment="1">
      <alignment horizontal="center" vertical="center"/>
    </xf>
    <xf numFmtId="0" fontId="67" fillId="0" borderId="189" xfId="0" applyFont="1" applyBorder="1" applyAlignment="1">
      <alignment horizontal="center" vertical="center"/>
    </xf>
    <xf numFmtId="0" fontId="67" fillId="0" borderId="32" xfId="0" applyFont="1" applyBorder="1" applyAlignment="1">
      <alignment horizontal="center" vertical="center"/>
    </xf>
    <xf numFmtId="0" fontId="67" fillId="0" borderId="160" xfId="0" applyFont="1" applyBorder="1" applyAlignment="1">
      <alignment horizontal="center" vertical="center"/>
    </xf>
    <xf numFmtId="0" fontId="67" fillId="0" borderId="179" xfId="0" applyFont="1" applyBorder="1" applyAlignment="1">
      <alignment horizontal="center" vertical="center"/>
    </xf>
    <xf numFmtId="178" fontId="67" fillId="0" borderId="28" xfId="0" applyNumberFormat="1" applyFont="1" applyBorder="1" applyAlignment="1">
      <alignment horizontal="center" vertical="center"/>
    </xf>
    <xf numFmtId="178" fontId="67" fillId="0" borderId="29" xfId="0" applyNumberFormat="1" applyFont="1" applyBorder="1" applyAlignment="1">
      <alignment horizontal="center" vertical="center"/>
    </xf>
    <xf numFmtId="2" fontId="67" fillId="0" borderId="31" xfId="0" applyNumberFormat="1" applyFont="1" applyBorder="1" applyAlignment="1">
      <alignment horizontal="center" vertical="center"/>
    </xf>
    <xf numFmtId="2" fontId="67" fillId="0" borderId="40" xfId="0" applyNumberFormat="1" applyFont="1" applyBorder="1" applyAlignment="1">
      <alignment horizontal="center" vertical="center"/>
    </xf>
    <xf numFmtId="2" fontId="67" fillId="0" borderId="43" xfId="0" applyNumberFormat="1" applyFont="1" applyBorder="1" applyAlignment="1">
      <alignment horizontal="center" vertical="center"/>
    </xf>
    <xf numFmtId="2" fontId="12" fillId="0" borderId="12" xfId="0" applyNumberFormat="1" applyFont="1" applyBorder="1" applyAlignment="1">
      <alignment horizontal="center" vertical="center"/>
    </xf>
    <xf numFmtId="0" fontId="12" fillId="0" borderId="4" xfId="1" applyNumberFormat="1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6" fontId="12" fillId="0" borderId="20" xfId="1" applyNumberFormat="1" applyFont="1" applyBorder="1" applyAlignment="1">
      <alignment horizontal="center" vertical="center" wrapText="1"/>
    </xf>
    <xf numFmtId="184" fontId="12" fillId="0" borderId="20" xfId="1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9" fontId="12" fillId="0" borderId="12" xfId="4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123" xfId="0" applyFont="1" applyBorder="1" applyAlignment="1">
      <alignment horizontal="center" vertical="center"/>
    </xf>
    <xf numFmtId="0" fontId="12" fillId="0" borderId="190" xfId="0" applyFont="1" applyBorder="1" applyAlignment="1">
      <alignment horizontal="center" vertical="center"/>
    </xf>
    <xf numFmtId="2" fontId="12" fillId="0" borderId="12" xfId="0" applyNumberFormat="1" applyFont="1" applyBorder="1" applyAlignment="1">
      <alignment horizontal="center" vertical="center"/>
    </xf>
    <xf numFmtId="0" fontId="12" fillId="0" borderId="176" xfId="0" applyFont="1" applyBorder="1" applyAlignment="1">
      <alignment horizontal="center" vertical="center"/>
    </xf>
    <xf numFmtId="0" fontId="12" fillId="0" borderId="181" xfId="0" applyFont="1" applyBorder="1" applyAlignment="1">
      <alignment horizontal="center" vertical="center"/>
    </xf>
    <xf numFmtId="178" fontId="12" fillId="0" borderId="2" xfId="0" applyNumberFormat="1" applyFont="1" applyBorder="1" applyAlignment="1">
      <alignment horizontal="center" vertical="center"/>
    </xf>
    <xf numFmtId="178" fontId="12" fillId="0" borderId="25" xfId="0" applyNumberFormat="1" applyFont="1" applyBorder="1" applyAlignment="1">
      <alignment horizontal="center" vertical="center"/>
    </xf>
    <xf numFmtId="0" fontId="15" fillId="16" borderId="85" xfId="0" applyFont="1" applyFill="1" applyBorder="1" applyAlignment="1">
      <alignment horizontal="center" vertical="center" wrapText="1"/>
    </xf>
    <xf numFmtId="0" fontId="15" fillId="16" borderId="29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textRotation="255"/>
    </xf>
    <xf numFmtId="0" fontId="11" fillId="0" borderId="2" xfId="0" applyFont="1" applyBorder="1" applyAlignment="1">
      <alignment horizontal="center" vertical="center" textRotation="255"/>
    </xf>
    <xf numFmtId="0" fontId="20" fillId="0" borderId="37" xfId="0" applyFont="1" applyBorder="1" applyAlignment="1">
      <alignment horizontal="center" vertical="center"/>
    </xf>
    <xf numFmtId="0" fontId="20" fillId="0" borderId="8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86" xfId="0" applyFont="1" applyBorder="1" applyAlignment="1">
      <alignment horizontal="center" vertical="center" wrapText="1"/>
    </xf>
    <xf numFmtId="0" fontId="15" fillId="0" borderId="80" xfId="0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/>
    </xf>
    <xf numFmtId="0" fontId="67" fillId="0" borderId="171" xfId="0" applyFont="1" applyBorder="1" applyAlignment="1">
      <alignment horizontal="center" vertical="center"/>
    </xf>
    <xf numFmtId="0" fontId="67" fillId="0" borderId="192" xfId="0" applyFont="1" applyBorder="1" applyAlignment="1">
      <alignment horizontal="center" vertical="center"/>
    </xf>
    <xf numFmtId="0" fontId="5" fillId="0" borderId="175" xfId="0" applyFont="1" applyBorder="1" applyAlignment="1">
      <alignment horizontal="center" vertical="center"/>
    </xf>
    <xf numFmtId="0" fontId="5" fillId="0" borderId="162" xfId="0" applyFont="1" applyBorder="1" applyAlignment="1">
      <alignment horizontal="center" vertical="center"/>
    </xf>
    <xf numFmtId="0" fontId="12" fillId="0" borderId="123" xfId="0" applyFont="1" applyBorder="1" applyAlignment="1">
      <alignment horizontal="center" vertical="center"/>
    </xf>
    <xf numFmtId="0" fontId="12" fillId="0" borderId="124" xfId="0" applyFont="1" applyBorder="1" applyAlignment="1">
      <alignment horizontal="center" vertical="center"/>
    </xf>
    <xf numFmtId="0" fontId="67" fillId="0" borderId="71" xfId="0" applyFont="1" applyBorder="1" applyAlignment="1">
      <alignment horizontal="center" vertical="center"/>
    </xf>
    <xf numFmtId="0" fontId="67" fillId="0" borderId="118" xfId="0" applyFont="1" applyBorder="1" applyAlignment="1">
      <alignment horizontal="center" vertical="center"/>
    </xf>
    <xf numFmtId="0" fontId="65" fillId="0" borderId="170" xfId="0" applyFont="1" applyBorder="1" applyAlignment="1">
      <alignment horizontal="center" vertical="center" wrapText="1"/>
    </xf>
    <xf numFmtId="0" fontId="65" fillId="0" borderId="157" xfId="0" applyFont="1" applyBorder="1" applyAlignment="1">
      <alignment horizontal="center" vertical="center" wrapText="1"/>
    </xf>
    <xf numFmtId="0" fontId="63" fillId="0" borderId="116" xfId="0" applyFont="1" applyBorder="1" applyAlignment="1">
      <alignment horizontal="center" vertical="center" wrapText="1"/>
    </xf>
    <xf numFmtId="0" fontId="12" fillId="0" borderId="196" xfId="0" applyFont="1" applyBorder="1" applyAlignment="1">
      <alignment horizontal="center" vertical="center"/>
    </xf>
    <xf numFmtId="0" fontId="12" fillId="0" borderId="197" xfId="0" applyFont="1" applyBorder="1" applyAlignment="1">
      <alignment horizontal="center" vertical="center"/>
    </xf>
    <xf numFmtId="177" fontId="12" fillId="13" borderId="163" xfId="1" applyNumberFormat="1" applyFont="1" applyFill="1" applyBorder="1" applyAlignment="1">
      <alignment horizontal="center" vertical="center"/>
    </xf>
    <xf numFmtId="177" fontId="12" fillId="13" borderId="126" xfId="1" applyNumberFormat="1" applyFont="1" applyFill="1" applyBorder="1" applyAlignment="1">
      <alignment horizontal="center" vertical="center"/>
    </xf>
    <xf numFmtId="177" fontId="18" fillId="15" borderId="186" xfId="0" applyNumberFormat="1" applyFont="1" applyFill="1" applyBorder="1" applyAlignment="1">
      <alignment horizontal="center" vertical="center" wrapText="1"/>
    </xf>
    <xf numFmtId="177" fontId="18" fillId="15" borderId="129" xfId="0" applyNumberFormat="1" applyFont="1" applyFill="1" applyBorder="1" applyAlignment="1">
      <alignment horizontal="center" vertical="center" wrapText="1"/>
    </xf>
    <xf numFmtId="177" fontId="18" fillId="15" borderId="166" xfId="0" applyNumberFormat="1" applyFont="1" applyFill="1" applyBorder="1" applyAlignment="1">
      <alignment horizontal="center" vertical="center" wrapText="1"/>
    </xf>
    <xf numFmtId="9" fontId="23" fillId="15" borderId="1" xfId="4" applyFont="1" applyFill="1" applyBorder="1" applyAlignment="1">
      <alignment horizontal="center" vertical="center"/>
    </xf>
    <xf numFmtId="9" fontId="23" fillId="15" borderId="6" xfId="4" applyFont="1" applyFill="1" applyBorder="1" applyAlignment="1">
      <alignment horizontal="center" vertical="center"/>
    </xf>
    <xf numFmtId="9" fontId="23" fillId="15" borderId="23" xfId="4" applyFont="1" applyFill="1" applyBorder="1" applyAlignment="1">
      <alignment horizontal="center" vertical="center"/>
    </xf>
    <xf numFmtId="9" fontId="23" fillId="15" borderId="107" xfId="4" applyFont="1" applyFill="1" applyBorder="1" applyAlignment="1">
      <alignment horizontal="center" vertical="center"/>
    </xf>
    <xf numFmtId="9" fontId="23" fillId="15" borderId="90" xfId="4" applyFont="1" applyFill="1" applyBorder="1" applyAlignment="1">
      <alignment horizontal="center" vertical="center"/>
    </xf>
    <xf numFmtId="9" fontId="23" fillId="15" borderId="33" xfId="4" applyFont="1" applyFill="1" applyBorder="1" applyAlignment="1">
      <alignment horizontal="center" vertical="center"/>
    </xf>
    <xf numFmtId="0" fontId="64" fillId="0" borderId="170" xfId="0" applyFont="1" applyBorder="1" applyAlignment="1">
      <alignment horizontal="center" vertical="center" textRotation="255" wrapText="1"/>
    </xf>
    <xf numFmtId="0" fontId="64" fillId="0" borderId="156" xfId="0" applyFont="1" applyBorder="1" applyAlignment="1">
      <alignment horizontal="center" vertical="center" textRotation="255" wrapText="1"/>
    </xf>
    <xf numFmtId="0" fontId="64" fillId="0" borderId="157" xfId="0" applyFont="1" applyBorder="1" applyAlignment="1">
      <alignment horizontal="center" vertical="center" textRotation="255" wrapText="1"/>
    </xf>
    <xf numFmtId="0" fontId="0" fillId="0" borderId="0" xfId="0" applyAlignment="1">
      <alignment horizontal="center"/>
    </xf>
    <xf numFmtId="0" fontId="0" fillId="0" borderId="90" xfId="0" applyBorder="1" applyAlignment="1">
      <alignment horizontal="center"/>
    </xf>
    <xf numFmtId="177" fontId="27" fillId="0" borderId="119" xfId="0" applyNumberFormat="1" applyFont="1" applyBorder="1" applyAlignment="1">
      <alignment horizontal="center" vertical="center" wrapText="1"/>
    </xf>
    <xf numFmtId="177" fontId="27" fillId="0" borderId="10" xfId="0" applyNumberFormat="1" applyFont="1" applyBorder="1" applyAlignment="1">
      <alignment horizontal="center" vertical="center" wrapText="1"/>
    </xf>
    <xf numFmtId="0" fontId="0" fillId="0" borderId="89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4" xfId="0" applyBorder="1" applyAlignment="1">
      <alignment horizontal="center"/>
    </xf>
    <xf numFmtId="177" fontId="27" fillId="0" borderId="160" xfId="0" applyNumberFormat="1" applyFont="1" applyBorder="1" applyAlignment="1">
      <alignment horizontal="center" vertical="center" wrapText="1"/>
    </xf>
    <xf numFmtId="177" fontId="27" fillId="0" borderId="43" xfId="0" applyNumberFormat="1" applyFont="1" applyBorder="1" applyAlignment="1">
      <alignment horizontal="center" vertical="center" wrapText="1"/>
    </xf>
    <xf numFmtId="177" fontId="27" fillId="0" borderId="173" xfId="0" applyNumberFormat="1" applyFont="1" applyBorder="1" applyAlignment="1">
      <alignment horizontal="center" vertical="center" wrapText="1"/>
    </xf>
    <xf numFmtId="177" fontId="27" fillId="0" borderId="41" xfId="0" applyNumberFormat="1" applyFont="1" applyBorder="1" applyAlignment="1">
      <alignment horizontal="center" vertical="center" wrapText="1"/>
    </xf>
    <xf numFmtId="177" fontId="28" fillId="0" borderId="177" xfId="0" applyNumberFormat="1" applyFont="1" applyBorder="1" applyAlignment="1">
      <alignment horizontal="center" vertical="center"/>
    </xf>
    <xf numFmtId="177" fontId="28" fillId="0" borderId="144" xfId="0" applyNumberFormat="1" applyFont="1" applyBorder="1" applyAlignment="1">
      <alignment horizontal="center" vertical="center"/>
    </xf>
    <xf numFmtId="0" fontId="0" fillId="0" borderId="160" xfId="0" applyBorder="1" applyAlignment="1">
      <alignment horizontal="center"/>
    </xf>
    <xf numFmtId="0" fontId="0" fillId="0" borderId="161" xfId="0" applyBorder="1" applyAlignment="1">
      <alignment horizontal="center"/>
    </xf>
    <xf numFmtId="0" fontId="0" fillId="0" borderId="29" xfId="0" applyBorder="1" applyAlignment="1">
      <alignment horizontal="center"/>
    </xf>
    <xf numFmtId="0" fontId="22" fillId="0" borderId="160" xfId="0" applyFont="1" applyBorder="1" applyAlignment="1">
      <alignment horizontal="right" vertical="center"/>
    </xf>
    <xf numFmtId="0" fontId="22" fillId="0" borderId="161" xfId="0" applyFont="1" applyBorder="1" applyAlignment="1">
      <alignment horizontal="right" vertical="center"/>
    </xf>
    <xf numFmtId="0" fontId="22" fillId="0" borderId="169" xfId="0" applyFont="1" applyBorder="1" applyAlignment="1">
      <alignment horizontal="right" vertical="center"/>
    </xf>
    <xf numFmtId="0" fontId="63" fillId="0" borderId="158" xfId="0" applyFont="1" applyBorder="1" applyAlignment="1">
      <alignment horizontal="center" vertical="center" wrapText="1"/>
    </xf>
    <xf numFmtId="0" fontId="63" fillId="0" borderId="125" xfId="0" applyFont="1" applyBorder="1" applyAlignment="1">
      <alignment horizontal="center" vertical="center" wrapText="1"/>
    </xf>
    <xf numFmtId="0" fontId="63" fillId="0" borderId="159" xfId="0" applyFont="1" applyBorder="1" applyAlignment="1">
      <alignment horizontal="center" vertical="center" wrapText="1"/>
    </xf>
    <xf numFmtId="183" fontId="63" fillId="0" borderId="160" xfId="0" applyNumberFormat="1" applyFont="1" applyBorder="1" applyAlignment="1">
      <alignment horizontal="center" vertical="center" wrapText="1"/>
    </xf>
    <xf numFmtId="0" fontId="63" fillId="0" borderId="29" xfId="0" applyFont="1" applyBorder="1" applyAlignment="1">
      <alignment horizontal="center" vertical="center" wrapText="1"/>
    </xf>
    <xf numFmtId="183" fontId="63" fillId="0" borderId="85" xfId="0" applyNumberFormat="1" applyFont="1" applyBorder="1" applyAlignment="1">
      <alignment horizontal="center" vertical="center" wrapText="1"/>
    </xf>
    <xf numFmtId="183" fontId="63" fillId="0" borderId="161" xfId="0" applyNumberFormat="1" applyFont="1" applyBorder="1" applyAlignment="1">
      <alignment horizontal="center" vertical="center" wrapText="1"/>
    </xf>
    <xf numFmtId="183" fontId="63" fillId="0" borderId="29" xfId="0" applyNumberFormat="1" applyFont="1" applyBorder="1" applyAlignment="1">
      <alignment horizontal="center" vertical="center" wrapText="1"/>
    </xf>
    <xf numFmtId="177" fontId="27" fillId="0" borderId="151" xfId="0" applyNumberFormat="1" applyFont="1" applyBorder="1" applyAlignment="1">
      <alignment horizontal="center" vertical="center" wrapText="1"/>
    </xf>
    <xf numFmtId="177" fontId="27" fillId="0" borderId="50" xfId="0" applyNumberFormat="1" applyFont="1" applyBorder="1" applyAlignment="1">
      <alignment horizontal="center" vertical="center" wrapText="1"/>
    </xf>
    <xf numFmtId="0" fontId="57" fillId="0" borderId="76" xfId="0" applyFont="1" applyBorder="1" applyAlignment="1">
      <alignment horizontal="center" vertical="center"/>
    </xf>
    <xf numFmtId="0" fontId="57" fillId="0" borderId="93" xfId="0" applyFont="1" applyBorder="1" applyAlignment="1">
      <alignment horizontal="center" vertical="center"/>
    </xf>
    <xf numFmtId="0" fontId="57" fillId="0" borderId="152" xfId="0" applyFont="1" applyBorder="1" applyAlignment="1">
      <alignment horizontal="center" vertical="center"/>
    </xf>
    <xf numFmtId="177" fontId="28" fillId="0" borderId="145" xfId="0" applyNumberFormat="1" applyFont="1" applyBorder="1" applyAlignment="1">
      <alignment horizontal="center" vertical="center"/>
    </xf>
    <xf numFmtId="177" fontId="28" fillId="0" borderId="114" xfId="0" applyNumberFormat="1" applyFont="1" applyBorder="1" applyAlignment="1">
      <alignment horizontal="center" vertical="center"/>
    </xf>
    <xf numFmtId="177" fontId="28" fillId="0" borderId="185" xfId="0" applyNumberFormat="1" applyFont="1" applyBorder="1" applyAlignment="1">
      <alignment horizontal="center" vertical="center"/>
    </xf>
    <xf numFmtId="177" fontId="28" fillId="0" borderId="119" xfId="0" applyNumberFormat="1" applyFont="1" applyBorder="1" applyAlignment="1">
      <alignment horizontal="center" vertical="center"/>
    </xf>
    <xf numFmtId="177" fontId="28" fillId="0" borderId="10" xfId="0" applyNumberFormat="1" applyFont="1" applyBorder="1" applyAlignment="1">
      <alignment horizontal="center" vertical="center"/>
    </xf>
    <xf numFmtId="177" fontId="31" fillId="15" borderId="7" xfId="1" applyNumberFormat="1" applyFont="1" applyFill="1" applyBorder="1" applyAlignment="1">
      <alignment horizontal="center" vertical="center"/>
    </xf>
    <xf numFmtId="177" fontId="31" fillId="15" borderId="14" xfId="1" applyNumberFormat="1" applyFont="1" applyFill="1" applyBorder="1" applyAlignment="1">
      <alignment horizontal="center" vertical="center"/>
    </xf>
    <xf numFmtId="177" fontId="31" fillId="15" borderId="168" xfId="1" applyNumberFormat="1" applyFont="1" applyFill="1" applyBorder="1" applyAlignment="1">
      <alignment horizontal="center" vertical="center"/>
    </xf>
    <xf numFmtId="177" fontId="28" fillId="0" borderId="7" xfId="0" applyNumberFormat="1" applyFont="1" applyBorder="1" applyAlignment="1">
      <alignment horizontal="center" vertical="center"/>
    </xf>
    <xf numFmtId="177" fontId="28" fillId="0" borderId="14" xfId="0" applyNumberFormat="1" applyFont="1" applyBorder="1" applyAlignment="1">
      <alignment horizontal="center" vertical="center"/>
    </xf>
    <xf numFmtId="177" fontId="28" fillId="0" borderId="168" xfId="0" applyNumberFormat="1" applyFont="1" applyBorder="1" applyAlignment="1">
      <alignment horizontal="center" vertical="center"/>
    </xf>
    <xf numFmtId="0" fontId="12" fillId="0" borderId="175" xfId="0" applyFont="1" applyBorder="1" applyAlignment="1">
      <alignment horizontal="center" vertical="center"/>
    </xf>
    <xf numFmtId="0" fontId="12" fillId="0" borderId="162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5" fillId="0" borderId="118" xfId="0" applyFont="1" applyBorder="1" applyAlignment="1">
      <alignment horizontal="center" vertical="center"/>
    </xf>
    <xf numFmtId="0" fontId="67" fillId="0" borderId="135" xfId="0" applyFont="1" applyBorder="1" applyAlignment="1">
      <alignment horizontal="center" vertical="center"/>
    </xf>
    <xf numFmtId="0" fontId="67" fillId="0" borderId="133" xfId="0" applyFont="1" applyBorder="1" applyAlignment="1">
      <alignment horizontal="center" vertical="center"/>
    </xf>
    <xf numFmtId="0" fontId="67" fillId="0" borderId="175" xfId="0" applyFont="1" applyBorder="1" applyAlignment="1">
      <alignment horizontal="center" vertical="center"/>
    </xf>
    <xf numFmtId="0" fontId="67" fillId="0" borderId="162" xfId="0" applyFont="1" applyBorder="1" applyAlignment="1">
      <alignment horizontal="center" vertical="center"/>
    </xf>
    <xf numFmtId="0" fontId="44" fillId="0" borderId="71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177" fontId="44" fillId="0" borderId="3" xfId="1" applyNumberFormat="1" applyFont="1" applyBorder="1" applyAlignment="1">
      <alignment horizontal="center" vertical="center"/>
    </xf>
    <xf numFmtId="177" fontId="44" fillId="0" borderId="118" xfId="1" applyNumberFormat="1" applyFont="1" applyBorder="1" applyAlignment="1">
      <alignment horizontal="center" vertical="center"/>
    </xf>
    <xf numFmtId="177" fontId="0" fillId="0" borderId="9" xfId="1" applyNumberFormat="1" applyFont="1" applyBorder="1" applyAlignment="1">
      <alignment horizontal="center" vertical="center"/>
    </xf>
    <xf numFmtId="177" fontId="0" fillId="0" borderId="48" xfId="1" applyNumberFormat="1" applyFont="1" applyBorder="1" applyAlignment="1">
      <alignment horizontal="center" vertical="center"/>
    </xf>
    <xf numFmtId="177" fontId="32" fillId="15" borderId="21" xfId="1" applyNumberFormat="1" applyFont="1" applyFill="1" applyBorder="1" applyAlignment="1">
      <alignment horizontal="center" vertical="center"/>
    </xf>
    <xf numFmtId="177" fontId="32" fillId="15" borderId="124" xfId="1" applyNumberFormat="1" applyFont="1" applyFill="1" applyBorder="1" applyAlignment="1">
      <alignment horizontal="center" vertical="center"/>
    </xf>
    <xf numFmtId="177" fontId="32" fillId="15" borderId="55" xfId="1" applyNumberFormat="1" applyFont="1" applyFill="1" applyBorder="1" applyAlignment="1">
      <alignment horizontal="center" vertical="center"/>
    </xf>
    <xf numFmtId="177" fontId="32" fillId="15" borderId="122" xfId="1" applyNumberFormat="1" applyFont="1" applyFill="1" applyBorder="1" applyAlignment="1">
      <alignment horizontal="center" vertical="center"/>
    </xf>
    <xf numFmtId="0" fontId="44" fillId="0" borderId="132" xfId="0" applyFont="1" applyBorder="1" applyAlignment="1">
      <alignment horizontal="center" vertical="center"/>
    </xf>
    <xf numFmtId="0" fontId="44" fillId="0" borderId="127" xfId="0" applyFont="1" applyBorder="1" applyAlignment="1">
      <alignment horizontal="center" vertical="center"/>
    </xf>
    <xf numFmtId="0" fontId="44" fillId="0" borderId="134" xfId="0" applyFont="1" applyBorder="1" applyAlignment="1">
      <alignment horizontal="center" vertical="center"/>
    </xf>
    <xf numFmtId="0" fontId="44" fillId="0" borderId="45" xfId="0" applyFont="1" applyBorder="1" applyAlignment="1">
      <alignment horizontal="center" vertical="center"/>
    </xf>
    <xf numFmtId="0" fontId="44" fillId="0" borderId="131" xfId="0" applyFont="1" applyBorder="1" applyAlignment="1">
      <alignment horizontal="center" vertical="center"/>
    </xf>
    <xf numFmtId="0" fontId="44" fillId="0" borderId="63" xfId="0" applyFont="1" applyBorder="1" applyAlignment="1">
      <alignment horizontal="center" vertical="center"/>
    </xf>
    <xf numFmtId="177" fontId="34" fillId="0" borderId="8" xfId="1" applyNumberFormat="1" applyFont="1" applyBorder="1" applyAlignment="1">
      <alignment horizontal="center" vertical="center"/>
    </xf>
    <xf numFmtId="177" fontId="34" fillId="0" borderId="15" xfId="1" applyNumberFormat="1" applyFont="1" applyBorder="1" applyAlignment="1">
      <alignment horizontal="center" vertical="center"/>
    </xf>
    <xf numFmtId="0" fontId="51" fillId="17" borderId="18" xfId="0" applyFont="1" applyFill="1" applyBorder="1" applyAlignment="1">
      <alignment horizontal="center" vertical="center"/>
    </xf>
    <xf numFmtId="0" fontId="51" fillId="17" borderId="11" xfId="0" applyFont="1" applyFill="1" applyBorder="1" applyAlignment="1">
      <alignment horizontal="center" vertical="center"/>
    </xf>
    <xf numFmtId="179" fontId="49" fillId="0" borderId="76" xfId="0" applyNumberFormat="1" applyFont="1" applyBorder="1" applyAlignment="1">
      <alignment horizontal="center" vertical="center"/>
    </xf>
    <xf numFmtId="179" fontId="49" fillId="0" borderId="62" xfId="0" applyNumberFormat="1" applyFont="1" applyBorder="1" applyAlignment="1">
      <alignment horizontal="center" vertical="center"/>
    </xf>
    <xf numFmtId="0" fontId="32" fillId="0" borderId="68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2" fillId="0" borderId="117" xfId="0" applyFont="1" applyBorder="1" applyAlignment="1">
      <alignment horizontal="center" vertical="center"/>
    </xf>
    <xf numFmtId="0" fontId="32" fillId="0" borderId="71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118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44" fillId="0" borderId="118" xfId="0" applyFont="1" applyBorder="1" applyAlignment="1">
      <alignment horizontal="center" vertical="center"/>
    </xf>
    <xf numFmtId="179" fontId="49" fillId="0" borderId="13" xfId="0" applyNumberFormat="1" applyFont="1" applyBorder="1" applyAlignment="1">
      <alignment horizontal="center" vertical="center"/>
    </xf>
    <xf numFmtId="179" fontId="49" fillId="0" borderId="14" xfId="0" applyNumberFormat="1" applyFont="1" applyBorder="1" applyAlignment="1">
      <alignment horizontal="center" vertical="center"/>
    </xf>
    <xf numFmtId="179" fontId="47" fillId="18" borderId="77" xfId="0" applyNumberFormat="1" applyFont="1" applyFill="1" applyBorder="1" applyAlignment="1">
      <alignment horizontal="center" vertical="center"/>
    </xf>
    <xf numFmtId="179" fontId="47" fillId="18" borderId="49" xfId="0" applyNumberFormat="1" applyFont="1" applyFill="1" applyBorder="1" applyAlignment="1">
      <alignment horizontal="center" vertical="center"/>
    </xf>
    <xf numFmtId="0" fontId="44" fillId="0" borderId="134" xfId="0" applyFont="1" applyBorder="1" applyAlignment="1">
      <alignment horizontal="left" vertical="center" wrapText="1"/>
    </xf>
    <xf numFmtId="0" fontId="44" fillId="0" borderId="0" xfId="0" applyFont="1" applyAlignment="1">
      <alignment horizontal="left" vertical="center" wrapText="1"/>
    </xf>
    <xf numFmtId="0" fontId="44" fillId="0" borderId="147" xfId="0" applyFont="1" applyBorder="1" applyAlignment="1">
      <alignment horizontal="left" vertical="center" wrapText="1"/>
    </xf>
    <xf numFmtId="0" fontId="44" fillId="0" borderId="139" xfId="0" applyFont="1" applyBorder="1" applyAlignment="1">
      <alignment horizontal="left" vertical="center" wrapText="1"/>
    </xf>
    <xf numFmtId="0" fontId="44" fillId="0" borderId="126" xfId="0" applyFont="1" applyBorder="1" applyAlignment="1">
      <alignment horizontal="left" vertical="center" wrapText="1"/>
    </xf>
    <xf numFmtId="0" fontId="44" fillId="0" borderId="131" xfId="0" applyFont="1" applyBorder="1" applyAlignment="1">
      <alignment horizontal="left" vertical="center" wrapText="1"/>
    </xf>
    <xf numFmtId="0" fontId="44" fillId="0" borderId="75" xfId="0" applyFont="1" applyBorder="1" applyAlignment="1">
      <alignment horizontal="left" vertical="center" wrapText="1"/>
    </xf>
    <xf numFmtId="0" fontId="44" fillId="0" borderId="99" xfId="0" applyFont="1" applyBorder="1" applyAlignment="1">
      <alignment horizontal="left" vertical="center" wrapText="1"/>
    </xf>
    <xf numFmtId="179" fontId="47" fillId="3" borderId="78" xfId="0" applyNumberFormat="1" applyFont="1" applyFill="1" applyBorder="1" applyAlignment="1">
      <alignment horizontal="center" vertical="center"/>
    </xf>
    <xf numFmtId="179" fontId="47" fillId="3" borderId="147" xfId="0" applyNumberFormat="1" applyFont="1" applyFill="1" applyBorder="1" applyAlignment="1">
      <alignment horizontal="center" vertical="center"/>
    </xf>
    <xf numFmtId="0" fontId="23" fillId="14" borderId="78" xfId="0" applyFont="1" applyFill="1" applyBorder="1" applyAlignment="1">
      <alignment horizontal="center" vertical="center" wrapText="1"/>
    </xf>
    <xf numFmtId="0" fontId="23" fillId="14" borderId="147" xfId="0" applyFont="1" applyFill="1" applyBorder="1" applyAlignment="1">
      <alignment horizontal="center" vertical="center" wrapText="1"/>
    </xf>
    <xf numFmtId="0" fontId="23" fillId="14" borderId="79" xfId="0" applyFont="1" applyFill="1" applyBorder="1" applyAlignment="1">
      <alignment horizontal="center" vertical="center" wrapText="1"/>
    </xf>
    <xf numFmtId="0" fontId="23" fillId="14" borderId="75" xfId="0" applyFont="1" applyFill="1" applyBorder="1" applyAlignment="1">
      <alignment horizontal="center" vertical="center" wrapText="1"/>
    </xf>
    <xf numFmtId="177" fontId="42" fillId="15" borderId="77" xfId="0" applyNumberFormat="1" applyFont="1" applyFill="1" applyBorder="1" applyAlignment="1">
      <alignment horizontal="center" vertical="center" wrapText="1"/>
    </xf>
    <xf numFmtId="177" fontId="42" fillId="15" borderId="49" xfId="0" applyNumberFormat="1" applyFont="1" applyFill="1" applyBorder="1" applyAlignment="1">
      <alignment horizontal="center" vertical="center" wrapText="1"/>
    </xf>
    <xf numFmtId="0" fontId="23" fillId="17" borderId="57" xfId="0" applyFont="1" applyFill="1" applyBorder="1" applyAlignment="1">
      <alignment horizontal="center" vertical="center"/>
    </xf>
    <xf numFmtId="0" fontId="23" fillId="17" borderId="51" xfId="0" applyFont="1" applyFill="1" applyBorder="1" applyAlignment="1">
      <alignment horizontal="center" vertical="center"/>
    </xf>
    <xf numFmtId="0" fontId="23" fillId="7" borderId="18" xfId="0" applyFont="1" applyFill="1" applyBorder="1" applyAlignment="1">
      <alignment horizontal="center" vertical="center" wrapText="1"/>
    </xf>
    <xf numFmtId="0" fontId="23" fillId="7" borderId="16" xfId="0" applyFont="1" applyFill="1" applyBorder="1" applyAlignment="1">
      <alignment horizontal="center" vertical="center" wrapText="1"/>
    </xf>
    <xf numFmtId="0" fontId="23" fillId="12" borderId="57" xfId="0" applyFont="1" applyFill="1" applyBorder="1" applyAlignment="1">
      <alignment horizontal="center" vertical="center" wrapText="1"/>
    </xf>
    <xf numFmtId="0" fontId="23" fillId="12" borderId="51" xfId="0" applyFont="1" applyFill="1" applyBorder="1" applyAlignment="1">
      <alignment horizontal="center" vertical="center" wrapText="1"/>
    </xf>
    <xf numFmtId="0" fontId="23" fillId="10" borderId="137" xfId="0" applyFont="1" applyFill="1" applyBorder="1" applyAlignment="1">
      <alignment horizontal="center" vertical="center" wrapText="1"/>
    </xf>
    <xf numFmtId="0" fontId="23" fillId="10" borderId="138" xfId="0" applyFont="1" applyFill="1" applyBorder="1" applyAlignment="1">
      <alignment horizontal="center" vertical="center" wrapText="1"/>
    </xf>
    <xf numFmtId="0" fontId="23" fillId="7" borderId="58" xfId="0" applyFont="1" applyFill="1" applyBorder="1" applyAlignment="1">
      <alignment horizontal="center" vertical="center" wrapText="1"/>
    </xf>
    <xf numFmtId="0" fontId="23" fillId="7" borderId="52" xfId="0" applyFont="1" applyFill="1" applyBorder="1" applyAlignment="1">
      <alignment horizontal="center" vertical="center" wrapText="1"/>
    </xf>
    <xf numFmtId="0" fontId="0" fillId="0" borderId="109" xfId="0" applyBorder="1" applyAlignment="1">
      <alignment horizontal="center" vertical="center" wrapText="1"/>
    </xf>
    <xf numFmtId="0" fontId="0" fillId="0" borderId="110" xfId="0" applyBorder="1" applyAlignment="1">
      <alignment horizontal="center" vertical="center" wrapText="1"/>
    </xf>
    <xf numFmtId="0" fontId="52" fillId="3" borderId="68" xfId="0" applyFont="1" applyFill="1" applyBorder="1" applyAlignment="1">
      <alignment horizontal="center" vertical="center"/>
    </xf>
    <xf numFmtId="0" fontId="52" fillId="3" borderId="69" xfId="0" applyFont="1" applyFill="1" applyBorder="1" applyAlignment="1">
      <alignment horizontal="center" vertical="center"/>
    </xf>
    <xf numFmtId="0" fontId="36" fillId="9" borderId="103" xfId="0" applyFont="1" applyFill="1" applyBorder="1" applyAlignment="1">
      <alignment horizontal="center" vertical="center" wrapText="1"/>
    </xf>
    <xf numFmtId="0" fontId="36" fillId="9" borderId="104" xfId="0" applyFont="1" applyFill="1" applyBorder="1" applyAlignment="1">
      <alignment horizontal="center" vertical="center"/>
    </xf>
    <xf numFmtId="0" fontId="37" fillId="5" borderId="66" xfId="0" applyFont="1" applyFill="1" applyBorder="1" applyAlignment="1">
      <alignment horizontal="center" vertical="center" wrapText="1"/>
    </xf>
    <xf numFmtId="0" fontId="37" fillId="5" borderId="64" xfId="0" applyFont="1" applyFill="1" applyBorder="1" applyAlignment="1">
      <alignment horizontal="center" vertical="center" wrapText="1"/>
    </xf>
    <xf numFmtId="0" fontId="23" fillId="20" borderId="17" xfId="0" applyFont="1" applyFill="1" applyBorder="1" applyAlignment="1">
      <alignment horizontal="center" vertical="center" wrapText="1"/>
    </xf>
    <xf numFmtId="0" fontId="23" fillId="20" borderId="15" xfId="0" applyFont="1" applyFill="1" applyBorder="1" applyAlignment="1">
      <alignment horizontal="center" vertical="center" wrapText="1"/>
    </xf>
    <xf numFmtId="0" fontId="43" fillId="0" borderId="75" xfId="0" applyFont="1" applyBorder="1" applyAlignment="1">
      <alignment horizontal="center" vertical="center"/>
    </xf>
    <xf numFmtId="0" fontId="23" fillId="17" borderId="54" xfId="0" applyFont="1" applyFill="1" applyBorder="1" applyAlignment="1">
      <alignment horizontal="center" vertical="center" wrapText="1"/>
    </xf>
    <xf numFmtId="0" fontId="23" fillId="17" borderId="148" xfId="0" applyFont="1" applyFill="1" applyBorder="1" applyAlignment="1">
      <alignment horizontal="center" vertical="center" wrapText="1"/>
    </xf>
    <xf numFmtId="0" fontId="23" fillId="20" borderId="117" xfId="0" applyFont="1" applyFill="1" applyBorder="1" applyAlignment="1">
      <alignment horizontal="center" vertical="center" wrapText="1"/>
    </xf>
    <xf numFmtId="0" fontId="23" fillId="20" borderId="128" xfId="0" applyFont="1" applyFill="1" applyBorder="1" applyAlignment="1">
      <alignment horizontal="center" vertical="center" wrapText="1"/>
    </xf>
    <xf numFmtId="177" fontId="44" fillId="0" borderId="115" xfId="1" applyNumberFormat="1" applyFont="1" applyBorder="1" applyAlignment="1">
      <alignment horizontal="center" vertical="center"/>
    </xf>
    <xf numFmtId="177" fontId="44" fillId="0" borderId="81" xfId="1" applyNumberFormat="1" applyFont="1" applyBorder="1" applyAlignment="1">
      <alignment horizontal="center" vertical="center"/>
    </xf>
    <xf numFmtId="177" fontId="44" fillId="0" borderId="9" xfId="1" applyNumberFormat="1" applyFont="1" applyBorder="1" applyAlignment="1">
      <alignment horizontal="center" vertical="center"/>
    </xf>
    <xf numFmtId="177" fontId="44" fillId="0" borderId="89" xfId="1" applyNumberFormat="1" applyFont="1" applyBorder="1" applyAlignment="1">
      <alignment horizontal="center" vertical="center"/>
    </xf>
    <xf numFmtId="177" fontId="33" fillId="0" borderId="136" xfId="1" applyNumberFormat="1" applyFont="1" applyFill="1" applyBorder="1" applyAlignment="1">
      <alignment horizontal="center" vertical="center"/>
    </xf>
    <xf numFmtId="177" fontId="33" fillId="0" borderId="101" xfId="1" applyNumberFormat="1" applyFont="1" applyFill="1" applyBorder="1" applyAlignment="1">
      <alignment horizontal="center" vertical="center"/>
    </xf>
    <xf numFmtId="177" fontId="33" fillId="0" borderId="42" xfId="1" applyNumberFormat="1" applyFont="1" applyFill="1" applyBorder="1" applyAlignment="1">
      <alignment horizontal="center" vertical="center"/>
    </xf>
    <xf numFmtId="177" fontId="33" fillId="0" borderId="100" xfId="1" applyNumberFormat="1" applyFont="1" applyFill="1" applyBorder="1" applyAlignment="1">
      <alignment horizontal="center" vertical="center"/>
    </xf>
    <xf numFmtId="0" fontId="44" fillId="0" borderId="119" xfId="0" applyFont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36" fillId="9" borderId="94" xfId="0" applyFont="1" applyFill="1" applyBorder="1" applyAlignment="1">
      <alignment horizontal="center" vertical="center" wrapText="1"/>
    </xf>
    <xf numFmtId="0" fontId="36" fillId="9" borderId="95" xfId="0" applyFont="1" applyFill="1" applyBorder="1" applyAlignment="1">
      <alignment horizontal="center" vertical="center" wrapText="1"/>
    </xf>
    <xf numFmtId="181" fontId="49" fillId="0" borderId="98" xfId="0" applyNumberFormat="1" applyFont="1" applyBorder="1" applyAlignment="1">
      <alignment horizontal="center" vertical="center"/>
    </xf>
    <xf numFmtId="181" fontId="49" fillId="0" borderId="61" xfId="0" applyNumberFormat="1" applyFont="1" applyBorder="1" applyAlignment="1">
      <alignment horizontal="center" vertical="center"/>
    </xf>
    <xf numFmtId="0" fontId="23" fillId="27" borderId="66" xfId="0" applyFont="1" applyFill="1" applyBorder="1" applyAlignment="1">
      <alignment horizontal="center" vertical="center" wrapText="1"/>
    </xf>
    <xf numFmtId="0" fontId="23" fillId="27" borderId="64" xfId="0" applyFont="1" applyFill="1" applyBorder="1" applyAlignment="1">
      <alignment horizontal="center" vertical="center" wrapText="1"/>
    </xf>
    <xf numFmtId="0" fontId="23" fillId="14" borderId="66" xfId="0" applyFont="1" applyFill="1" applyBorder="1" applyAlignment="1">
      <alignment horizontal="center" vertical="center" wrapText="1"/>
    </xf>
    <xf numFmtId="0" fontId="23" fillId="14" borderId="64" xfId="0" applyFont="1" applyFill="1" applyBorder="1" applyAlignment="1">
      <alignment horizontal="center" vertical="center" wrapText="1"/>
    </xf>
    <xf numFmtId="0" fontId="23" fillId="12" borderId="137" xfId="0" applyFont="1" applyFill="1" applyBorder="1" applyAlignment="1">
      <alignment horizontal="center" vertical="center" wrapText="1"/>
    </xf>
    <xf numFmtId="0" fontId="23" fillId="12" borderId="138" xfId="0" applyFont="1" applyFill="1" applyBorder="1" applyAlignment="1">
      <alignment horizontal="center" vertical="center" wrapText="1"/>
    </xf>
    <xf numFmtId="0" fontId="23" fillId="12" borderId="18" xfId="0" applyFont="1" applyFill="1" applyBorder="1" applyAlignment="1">
      <alignment horizontal="center" vertical="center" wrapText="1"/>
    </xf>
    <xf numFmtId="0" fontId="23" fillId="12" borderId="16" xfId="0" applyFont="1" applyFill="1" applyBorder="1" applyAlignment="1">
      <alignment horizontal="center" vertical="center" wrapText="1"/>
    </xf>
    <xf numFmtId="0" fontId="23" fillId="7" borderId="57" xfId="0" applyFont="1" applyFill="1" applyBorder="1" applyAlignment="1">
      <alignment horizontal="center" vertical="center" wrapText="1"/>
    </xf>
    <xf numFmtId="0" fontId="23" fillId="7" borderId="51" xfId="0" applyFont="1" applyFill="1" applyBorder="1" applyAlignment="1">
      <alignment horizontal="center" vertical="center" wrapText="1"/>
    </xf>
    <xf numFmtId="0" fontId="23" fillId="20" borderId="57" xfId="0" applyFont="1" applyFill="1" applyBorder="1" applyAlignment="1">
      <alignment horizontal="center" vertical="center" wrapText="1"/>
    </xf>
    <xf numFmtId="0" fontId="23" fillId="20" borderId="51" xfId="0" applyFont="1" applyFill="1" applyBorder="1" applyAlignment="1">
      <alignment horizontal="center" vertical="center" wrapText="1"/>
    </xf>
    <xf numFmtId="0" fontId="36" fillId="0" borderId="68" xfId="5" applyFont="1" applyBorder="1" applyAlignment="1">
      <alignment horizontal="left" vertical="center"/>
    </xf>
    <xf numFmtId="0" fontId="36" fillId="0" borderId="17" xfId="5" applyFont="1" applyBorder="1" applyAlignment="1">
      <alignment horizontal="left" vertical="center"/>
    </xf>
    <xf numFmtId="0" fontId="36" fillId="0" borderId="117" xfId="5" applyFont="1" applyBorder="1" applyAlignment="1">
      <alignment horizontal="left" vertical="center"/>
    </xf>
    <xf numFmtId="0" fontId="35" fillId="0" borderId="4" xfId="5" applyFont="1" applyBorder="1" applyAlignment="1">
      <alignment horizontal="center" vertical="center"/>
    </xf>
    <xf numFmtId="0" fontId="36" fillId="23" borderId="7" xfId="0" applyFont="1" applyFill="1" applyBorder="1" applyAlignment="1">
      <alignment horizontal="center" vertical="center" wrapText="1"/>
    </xf>
    <xf numFmtId="0" fontId="36" fillId="23" borderId="10" xfId="0" applyFont="1" applyFill="1" applyBorder="1" applyAlignment="1">
      <alignment horizontal="center" vertical="center" wrapText="1"/>
    </xf>
    <xf numFmtId="0" fontId="36" fillId="24" borderId="7" xfId="0" applyFont="1" applyFill="1" applyBorder="1" applyAlignment="1">
      <alignment horizontal="center" vertical="center" wrapText="1"/>
    </xf>
    <xf numFmtId="0" fontId="36" fillId="24" borderId="10" xfId="0" applyFont="1" applyFill="1" applyBorder="1" applyAlignment="1">
      <alignment horizontal="center" vertical="center" wrapText="1"/>
    </xf>
    <xf numFmtId="0" fontId="31" fillId="7" borderId="7" xfId="0" applyFont="1" applyFill="1" applyBorder="1" applyAlignment="1">
      <alignment horizontal="center" vertical="center"/>
    </xf>
    <xf numFmtId="0" fontId="31" fillId="7" borderId="10" xfId="0" applyFont="1" applyFill="1" applyBorder="1" applyAlignment="1">
      <alignment horizontal="center" vertical="center"/>
    </xf>
    <xf numFmtId="0" fontId="31" fillId="21" borderId="7" xfId="0" applyFont="1" applyFill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36" fillId="14" borderId="7" xfId="0" applyFont="1" applyFill="1" applyBorder="1" applyAlignment="1">
      <alignment horizontal="center" vertical="center" wrapText="1"/>
    </xf>
    <xf numFmtId="0" fontId="36" fillId="14" borderId="10" xfId="0" applyFont="1" applyFill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 wrapText="1"/>
    </xf>
    <xf numFmtId="0" fontId="42" fillId="16" borderId="89" xfId="0" applyFont="1" applyFill="1" applyBorder="1" applyAlignment="1">
      <alignment horizontal="center" vertical="center"/>
    </xf>
    <xf numFmtId="0" fontId="31" fillId="0" borderId="89" xfId="0" applyFont="1" applyBorder="1" applyAlignment="1">
      <alignment horizontal="left" vertical="center"/>
    </xf>
    <xf numFmtId="0" fontId="36" fillId="22" borderId="7" xfId="0" applyFont="1" applyFill="1" applyBorder="1" applyAlignment="1">
      <alignment horizontal="center" vertical="center" wrapText="1"/>
    </xf>
    <xf numFmtId="0" fontId="36" fillId="22" borderId="10" xfId="0" applyFont="1" applyFill="1" applyBorder="1" applyAlignment="1">
      <alignment horizontal="center" vertical="center" wrapText="1"/>
    </xf>
    <xf numFmtId="0" fontId="36" fillId="21" borderId="7" xfId="0" applyFont="1" applyFill="1" applyBorder="1" applyAlignment="1">
      <alignment horizontal="center" vertical="center" wrapText="1"/>
    </xf>
    <xf numFmtId="0" fontId="36" fillId="21" borderId="10" xfId="0" applyFont="1" applyFill="1" applyBorder="1" applyAlignment="1">
      <alignment horizontal="center" vertical="center" wrapText="1"/>
    </xf>
    <xf numFmtId="0" fontId="73" fillId="0" borderId="0" xfId="0" applyFont="true">
      <alignment horizontal="center" vertical="center"/>
    </xf>
    <xf numFmtId="0" fontId="74" fillId="0" borderId="0" xfId="0" applyFont="true">
      <alignment horizontal="center" vertical="center"/>
    </xf>
    <xf numFmtId="0" fontId="74" fillId="0" borderId="200" xfId="0" applyFont="true" applyBorder="true">
      <alignment horizontal="center" vertical="center"/>
    </xf>
    <xf numFmtId="0" fontId="67" fillId="0" borderId="112" xfId="0" applyFont="1" applyBorder="true" applyAlignment="1">
      <alignment horizontal="center" vertical="center"/>
    </xf>
    <xf numFmtId="2" fontId="67" fillId="0" borderId="112" xfId="0" applyNumberFormat="1" applyFont="1" applyBorder="true" applyAlignment="1">
      <alignment horizontal="center" vertical="center"/>
    </xf>
    <xf numFmtId="2" fontId="67" fillId="0" borderId="145" xfId="0" applyNumberFormat="1" applyFont="1" applyBorder="true" applyAlignment="1">
      <alignment horizontal="center" vertical="center"/>
    </xf>
    <xf numFmtId="0" fontId="67" fillId="0" borderId="108" xfId="0" applyFont="1" applyBorder="true" applyAlignment="1">
      <alignment horizontal="center" vertical="center"/>
    </xf>
    <xf numFmtId="9" fontId="67" fillId="0" borderId="143" xfId="4" applyFont="1" applyBorder="true" applyAlignment="1">
      <alignment horizontal="center" vertical="center"/>
    </xf>
    <xf numFmtId="2" fontId="67" fillId="0" borderId="144" xfId="0" applyNumberFormat="1" applyFont="1" applyBorder="true" applyAlignment="1">
      <alignment horizontal="center" vertical="center"/>
    </xf>
    <xf numFmtId="0" fontId="67" fillId="0" borderId="145" xfId="0" applyFont="1" applyBorder="true" applyAlignment="1">
      <alignment horizontal="center" vertical="center"/>
    </xf>
    <xf numFmtId="0" fontId="67" fillId="0" borderId="171" xfId="0" applyFont="1" applyBorder="true" applyAlignment="1">
      <alignment horizontal="center" vertical="center"/>
    </xf>
    <xf numFmtId="0" fontId="67" fillId="0" borderId="187" xfId="0" applyFont="1" applyBorder="true" applyAlignment="1">
      <alignment horizontal="center" vertical="center"/>
    </xf>
    <xf numFmtId="0" fontId="67" fillId="0" borderId="144" xfId="0" applyFont="1" applyBorder="true" applyAlignment="1">
      <alignment horizontal="center" vertical="center"/>
    </xf>
    <xf numFmtId="0" fontId="67" fillId="0" borderId="143" xfId="0" applyFont="1" applyBorder="true" applyAlignment="1">
      <alignment horizontal="center" vertical="center"/>
    </xf>
    <xf numFmtId="0" fontId="67" fillId="0" borderId="177" xfId="0" applyFont="1" applyBorder="true" applyAlignment="1">
      <alignment horizontal="center" vertical="center"/>
    </xf>
    <xf numFmtId="0" fontId="67" fillId="0" borderId="191" xfId="0" applyFont="1" applyBorder="true" applyAlignment="1">
      <alignment horizontal="center" vertical="center"/>
    </xf>
    <xf numFmtId="0" fontId="67" fillId="0" borderId="171" xfId="0" applyFont="1" applyBorder="true" applyAlignment="1">
      <alignment horizontal="center" vertical="center"/>
    </xf>
    <xf numFmtId="0" fontId="67" fillId="0" borderId="192" xfId="0" applyFont="1" applyBorder="true" applyAlignment="1">
      <alignment horizontal="center" vertical="center"/>
    </xf>
    <xf numFmtId="178" fontId="67" fillId="0" borderId="142" xfId="0" applyNumberFormat="1" applyFont="1" applyBorder="true" applyAlignment="1">
      <alignment horizontal="center" vertical="center"/>
    </xf>
    <xf numFmtId="178" fontId="67" fillId="0" borderId="80" xfId="0" applyNumberFormat="1" applyFont="1" applyBorder="true" applyAlignment="1">
      <alignment horizontal="center" vertical="center"/>
    </xf>
    <xf numFmtId="0" fontId="5" fillId="0" borderId="4" xfId="0" applyFont="1" applyBorder="true" applyAlignment="1">
      <alignment horizontal="center" vertical="center"/>
    </xf>
    <xf numFmtId="0" fontId="5" fillId="0" borderId="7" xfId="0" applyFont="1" applyBorder="true" applyAlignment="1">
      <alignment horizontal="center" vertical="center"/>
    </xf>
    <xf numFmtId="0" fontId="5" fillId="0" borderId="3" xfId="0" applyFont="1" applyBorder="true" applyAlignment="1">
      <alignment horizontal="center" vertical="center"/>
    </xf>
    <xf numFmtId="9" fontId="5" fillId="0" borderId="5" xfId="4" applyFont="1" applyBorder="true" applyAlignment="1">
      <alignment horizontal="center" vertical="center"/>
    </xf>
    <xf numFmtId="0" fontId="5" fillId="0" borderId="10" xfId="0" applyFont="1" applyBorder="true" applyAlignment="1">
      <alignment horizontal="center" vertical="center"/>
    </xf>
    <xf numFmtId="0" fontId="5" fillId="0" borderId="71" xfId="0" applyFont="1" applyBorder="true" applyAlignment="1">
      <alignment horizontal="center" vertical="center"/>
    </xf>
    <xf numFmtId="0" fontId="5" fillId="0" borderId="188" xfId="0" applyFont="1" applyBorder="true" applyAlignment="1">
      <alignment horizontal="center" vertical="center"/>
    </xf>
    <xf numFmtId="0" fontId="5" fillId="0" borderId="5" xfId="0" applyFont="1" applyBorder="true" applyAlignment="1">
      <alignment horizontal="center" vertical="center"/>
    </xf>
    <xf numFmtId="0" fontId="5" fillId="0" borderId="119" xfId="0" applyFont="1" applyBorder="true" applyAlignment="1">
      <alignment horizontal="center" vertical="center"/>
    </xf>
    <xf numFmtId="0" fontId="5" fillId="0" borderId="180" xfId="0" applyFont="1" applyBorder="true" applyAlignment="1">
      <alignment horizontal="center" vertical="center"/>
    </xf>
    <xf numFmtId="0" fontId="5" fillId="0" borderId="71" xfId="0" applyFont="1" applyBorder="true" applyAlignment="1">
      <alignment horizontal="center" vertical="center"/>
    </xf>
    <xf numFmtId="0" fontId="5" fillId="0" borderId="118" xfId="0" applyFont="1" applyBorder="true" applyAlignment="1">
      <alignment horizontal="center" vertical="center"/>
    </xf>
    <xf numFmtId="178" fontId="5" fillId="0" borderId="20" xfId="0" applyNumberFormat="1" applyFont="1" applyBorder="true" applyAlignment="1">
      <alignment horizontal="center" vertical="center"/>
    </xf>
    <xf numFmtId="178" fontId="5" fillId="0" borderId="24" xfId="0" applyNumberFormat="1" applyFont="1" applyBorder="true" applyAlignment="1">
      <alignment horizontal="center" vertical="center"/>
    </xf>
    <xf numFmtId="0" fontId="73" fillId="0" borderId="200" xfId="0" applyFont="true" applyBorder="true">
      <alignment horizontal="center" vertical="center"/>
    </xf>
    <xf numFmtId="0" fontId="12" fillId="0" borderId="8" xfId="0" applyFont="1" applyBorder="true" applyAlignment="1">
      <alignment horizontal="center" vertical="center"/>
    </xf>
    <xf numFmtId="0" fontId="12" fillId="0" borderId="9" xfId="0" applyFont="1" applyBorder="true" applyAlignment="1">
      <alignment horizontal="center" vertical="center"/>
    </xf>
    <xf numFmtId="0" fontId="12" fillId="0" borderId="21" xfId="0" applyFont="1" applyBorder="true" applyAlignment="1">
      <alignment horizontal="center" vertical="center"/>
    </xf>
    <xf numFmtId="9" fontId="12" fillId="0" borderId="12" xfId="4" applyFont="1" applyBorder="true" applyAlignment="1">
      <alignment horizontal="center" vertical="center"/>
    </xf>
    <xf numFmtId="0" fontId="12" fillId="0" borderId="44" xfId="0" applyFont="1" applyBorder="true" applyAlignment="1">
      <alignment horizontal="center" vertical="center"/>
    </xf>
    <xf numFmtId="0" fontId="12" fillId="0" borderId="123" xfId="0" applyFont="1" applyBorder="true" applyAlignment="1">
      <alignment horizontal="center" vertical="center"/>
    </xf>
    <xf numFmtId="0" fontId="12" fillId="0" borderId="190" xfId="0" applyFont="1" applyBorder="true" applyAlignment="1">
      <alignment horizontal="center" vertical="center"/>
    </xf>
    <xf numFmtId="0" fontId="12" fillId="0" borderId="12" xfId="0" applyFont="1" applyBorder="true" applyAlignment="1">
      <alignment horizontal="center" vertical="center"/>
    </xf>
    <xf numFmtId="0" fontId="12" fillId="0" borderId="176" xfId="0" applyFont="1" applyBorder="true" applyAlignment="1">
      <alignment horizontal="center" vertical="center"/>
    </xf>
    <xf numFmtId="0" fontId="12" fillId="0" borderId="181" xfId="0" applyFont="1" applyBorder="true" applyAlignment="1">
      <alignment horizontal="center" vertical="center"/>
    </xf>
    <xf numFmtId="0" fontId="12" fillId="0" borderId="123" xfId="0" applyFont="1" applyBorder="true" applyAlignment="1">
      <alignment horizontal="center" vertical="center"/>
    </xf>
    <xf numFmtId="0" fontId="12" fillId="0" borderId="124" xfId="0" applyFont="1" applyBorder="true" applyAlignment="1">
      <alignment horizontal="center" vertical="center"/>
    </xf>
    <xf numFmtId="178" fontId="12" fillId="0" borderId="2" xfId="0" applyNumberFormat="1" applyFont="1" applyBorder="true" applyAlignment="1">
      <alignment horizontal="center" vertical="center"/>
    </xf>
    <xf numFmtId="178" fontId="12" fillId="0" borderId="25" xfId="0" applyNumberFormat="1" applyFont="1" applyBorder="true" applyAlignment="1">
      <alignment horizontal="center" vertical="center"/>
    </xf>
    <xf numFmtId="0" fontId="11" fillId="0" borderId="10" xfId="0" applyFont="1" applyBorder="true" applyAlignment="1">
      <alignment horizontal="center" vertical="center"/>
    </xf>
    <xf numFmtId="0" fontId="12" fillId="0" borderId="4" xfId="0" applyFont="1" applyBorder="true" applyAlignment="1">
      <alignment horizontal="center" vertical="center"/>
    </xf>
    <xf numFmtId="0" fontId="12" fillId="0" borderId="7" xfId="0" applyFont="1" applyBorder="true" applyAlignment="1">
      <alignment horizontal="center" vertical="center"/>
    </xf>
    <xf numFmtId="0" fontId="12" fillId="0" borderId="3" xfId="0" applyFont="1" applyBorder="true" applyAlignment="1">
      <alignment horizontal="center" vertical="center"/>
    </xf>
    <xf numFmtId="9" fontId="12" fillId="0" borderId="5" xfId="4" applyFont="1" applyBorder="true" applyAlignment="1">
      <alignment horizontal="center" vertical="center"/>
    </xf>
    <xf numFmtId="0" fontId="12" fillId="0" borderId="10" xfId="0" applyFont="1" applyBorder="true" applyAlignment="1">
      <alignment horizontal="center" vertical="center"/>
    </xf>
    <xf numFmtId="0" fontId="12" fillId="0" borderId="71" xfId="0" applyFont="1" applyBorder="true" applyAlignment="1">
      <alignment horizontal="center" vertical="center"/>
    </xf>
    <xf numFmtId="0" fontId="12" fillId="0" borderId="188" xfId="0" applyFont="1" applyBorder="true" applyAlignment="1">
      <alignment horizontal="center" vertical="center"/>
    </xf>
    <xf numFmtId="0" fontId="12" fillId="0" borderId="5" xfId="0" applyFont="1" applyBorder="true" applyAlignment="1">
      <alignment horizontal="center" vertical="center"/>
    </xf>
    <xf numFmtId="0" fontId="12" fillId="0" borderId="119" xfId="0" applyFont="1" applyBorder="true" applyAlignment="1">
      <alignment horizontal="center" vertical="center"/>
    </xf>
    <xf numFmtId="0" fontId="12" fillId="0" borderId="180" xfId="0" applyFont="1" applyBorder="true" applyAlignment="1">
      <alignment horizontal="center" vertical="center"/>
    </xf>
    <xf numFmtId="0" fontId="12" fillId="0" borderId="71" xfId="0" applyFont="1" applyBorder="true" applyAlignment="1">
      <alignment horizontal="center" vertical="center"/>
    </xf>
    <xf numFmtId="0" fontId="12" fillId="0" borderId="118" xfId="0" applyFont="1" applyBorder="true" applyAlignment="1">
      <alignment horizontal="center" vertical="center"/>
    </xf>
    <xf numFmtId="178" fontId="12" fillId="0" borderId="20" xfId="0" applyNumberFormat="1" applyFont="1" applyBorder="true" applyAlignment="1">
      <alignment horizontal="center" vertical="center"/>
    </xf>
    <xf numFmtId="178" fontId="12" fillId="0" borderId="24" xfId="0" applyNumberFormat="1" applyFont="1" applyBorder="true" applyAlignment="1">
      <alignment horizontal="center" vertical="center"/>
    </xf>
    <xf numFmtId="0" fontId="73" fillId="0" borderId="201" xfId="0" applyFont="true" applyBorder="true">
      <alignment horizontal="center" vertical="center"/>
    </xf>
    <xf numFmtId="0" fontId="11" fillId="0" borderId="43" xfId="0" applyFont="1" applyBorder="true" applyAlignment="1">
      <alignment horizontal="center" vertical="center"/>
    </xf>
    <xf numFmtId="0" fontId="12" fillId="0" borderId="31" xfId="0" applyFont="1" applyBorder="true" applyAlignment="1">
      <alignment horizontal="center" vertical="center"/>
    </xf>
    <xf numFmtId="0" fontId="12" fillId="0" borderId="40" xfId="0" applyFont="1" applyBorder="true" applyAlignment="1">
      <alignment horizontal="center" vertical="center"/>
    </xf>
    <xf numFmtId="0" fontId="12" fillId="0" borderId="34" xfId="0" applyFont="1" applyBorder="true" applyAlignment="1">
      <alignment horizontal="center" vertical="center"/>
    </xf>
    <xf numFmtId="9" fontId="12" fillId="0" borderId="32" xfId="4" applyFont="1" applyBorder="true" applyAlignment="1">
      <alignment horizontal="center" vertical="center"/>
    </xf>
    <xf numFmtId="0" fontId="12" fillId="0" borderId="43" xfId="0" applyFont="1" applyBorder="true" applyAlignment="1">
      <alignment horizontal="center" vertical="center"/>
    </xf>
    <xf numFmtId="0" fontId="12" fillId="0" borderId="175" xfId="0" applyFont="1" applyBorder="true" applyAlignment="1">
      <alignment horizontal="center" vertical="center"/>
    </xf>
    <xf numFmtId="0" fontId="12" fillId="0" borderId="189" xfId="0" applyFont="1" applyBorder="true" applyAlignment="1">
      <alignment horizontal="center" vertical="center"/>
    </xf>
    <xf numFmtId="0" fontId="12" fillId="0" borderId="32" xfId="0" applyFont="1" applyBorder="true" applyAlignment="1">
      <alignment horizontal="center" vertical="center"/>
    </xf>
    <xf numFmtId="0" fontId="12" fillId="0" borderId="160" xfId="0" applyFont="1" applyBorder="true" applyAlignment="1">
      <alignment horizontal="center" vertical="center"/>
    </xf>
    <xf numFmtId="0" fontId="12" fillId="0" borderId="179" xfId="0" applyFont="1" applyBorder="true" applyAlignment="1">
      <alignment horizontal="center" vertical="center"/>
    </xf>
    <xf numFmtId="0" fontId="12" fillId="0" borderId="175" xfId="0" applyFont="1" applyBorder="true" applyAlignment="1">
      <alignment horizontal="center" vertical="center"/>
    </xf>
    <xf numFmtId="0" fontId="12" fillId="0" borderId="162" xfId="0" applyFont="1" applyBorder="true" applyAlignment="1">
      <alignment horizontal="center" vertical="center"/>
    </xf>
    <xf numFmtId="178" fontId="12" fillId="0" borderId="28" xfId="0" applyNumberFormat="1" applyFont="1" applyBorder="true" applyAlignment="1">
      <alignment horizontal="center" vertical="center"/>
    </xf>
    <xf numFmtId="178" fontId="12" fillId="0" borderId="29" xfId="0" applyNumberFormat="1" applyFont="1" applyBorder="true" applyAlignment="1">
      <alignment horizontal="center" vertical="center"/>
    </xf>
    <xf numFmtId="2" fontId="12" fillId="0" borderId="4" xfId="0" applyNumberFormat="1" applyFont="1" applyBorder="true" applyAlignment="1">
      <alignment horizontal="center" vertical="center"/>
    </xf>
    <xf numFmtId="0" fontId="12" fillId="0" borderId="4" xfId="0" applyFont="1" applyBorder="true" applyAlignment="1">
      <alignment horizontal="center" vertical="center"/>
    </xf>
    <xf numFmtId="0" fontId="12" fillId="0" borderId="7" xfId="0" applyFont="1" applyBorder="true" applyAlignment="1">
      <alignment horizontal="center" vertical="center"/>
    </xf>
    <xf numFmtId="0" fontId="12" fillId="0" borderId="3" xfId="0" applyFont="1" applyBorder="true" applyAlignment="1">
      <alignment horizontal="center" vertical="center"/>
    </xf>
    <xf numFmtId="9" fontId="12" fillId="0" borderId="5" xfId="4" applyFont="1" applyBorder="true" applyAlignment="1">
      <alignment horizontal="center" vertical="center"/>
    </xf>
    <xf numFmtId="0" fontId="12" fillId="0" borderId="10" xfId="0" applyFont="1" applyBorder="true" applyAlignment="1">
      <alignment horizontal="center" vertical="center"/>
    </xf>
    <xf numFmtId="0" fontId="12" fillId="0" borderId="71" xfId="0" applyFont="1" applyBorder="true" applyAlignment="1">
      <alignment horizontal="center" vertical="center"/>
    </xf>
    <xf numFmtId="0" fontId="12" fillId="0" borderId="188" xfId="0" applyFont="1" applyBorder="true" applyAlignment="1">
      <alignment horizontal="center" vertical="center"/>
    </xf>
    <xf numFmtId="2" fontId="12" fillId="0" borderId="5" xfId="0" applyNumberFormat="1" applyFont="1" applyBorder="true" applyAlignment="1">
      <alignment horizontal="center" vertical="center"/>
    </xf>
    <xf numFmtId="0" fontId="12" fillId="0" borderId="119" xfId="0" applyFont="1" applyBorder="true" applyAlignment="1">
      <alignment horizontal="center" vertical="center"/>
    </xf>
    <xf numFmtId="0" fontId="12" fillId="0" borderId="180" xfId="0" applyFont="1" applyBorder="true" applyAlignment="1">
      <alignment horizontal="center" vertical="center"/>
    </xf>
    <xf numFmtId="0" fontId="12" fillId="0" borderId="71" xfId="0" applyFont="1" applyBorder="true" applyAlignment="1">
      <alignment horizontal="center" vertical="center"/>
    </xf>
    <xf numFmtId="0" fontId="12" fillId="0" borderId="118" xfId="0" applyFont="1" applyBorder="true" applyAlignment="1">
      <alignment horizontal="center" vertical="center"/>
    </xf>
    <xf numFmtId="178" fontId="12" fillId="0" borderId="20" xfId="0" applyNumberFormat="1" applyFont="1" applyBorder="true" applyAlignment="1">
      <alignment horizontal="center" vertical="center"/>
    </xf>
    <xf numFmtId="178" fontId="12" fillId="0" borderId="24" xfId="0" applyNumberFormat="1" applyFont="1" applyBorder="true" applyAlignment="1">
      <alignment horizontal="center" vertical="center"/>
    </xf>
    <xf numFmtId="0" fontId="12" fillId="0" borderId="5" xfId="0" applyFont="1" applyBorder="true" applyAlignment="1">
      <alignment horizontal="center" vertical="center"/>
    </xf>
    <xf numFmtId="2" fontId="12" fillId="0" borderId="119" xfId="0" applyNumberFormat="1" applyFont="1" applyBorder="true" applyAlignment="1">
      <alignment horizontal="center" vertical="center"/>
    </xf>
    <xf numFmtId="0" fontId="67" fillId="0" borderId="4" xfId="0" applyFont="1" applyBorder="true" applyAlignment="1">
      <alignment horizontal="center" vertical="center"/>
    </xf>
    <xf numFmtId="0" fontId="67" fillId="0" borderId="7" xfId="0" applyFont="1" applyBorder="true" applyAlignment="1">
      <alignment horizontal="center" vertical="center"/>
    </xf>
    <xf numFmtId="0" fontId="67" fillId="0" borderId="3" xfId="0" applyFont="1" applyBorder="true" applyAlignment="1">
      <alignment horizontal="center" vertical="center"/>
    </xf>
    <xf numFmtId="9" fontId="67" fillId="0" borderId="5" xfId="4" applyFont="1" applyBorder="true" applyAlignment="1">
      <alignment horizontal="center" vertical="center"/>
    </xf>
    <xf numFmtId="0" fontId="67" fillId="0" borderId="10" xfId="0" applyFont="1" applyBorder="true" applyAlignment="1">
      <alignment horizontal="center" vertical="center"/>
    </xf>
    <xf numFmtId="0" fontId="67" fillId="0" borderId="71" xfId="0" applyFont="1" applyBorder="true" applyAlignment="1">
      <alignment horizontal="center" vertical="center"/>
    </xf>
    <xf numFmtId="0" fontId="67" fillId="0" borderId="188" xfId="0" applyFont="1" applyBorder="true" applyAlignment="1">
      <alignment horizontal="center" vertical="center"/>
    </xf>
    <xf numFmtId="0" fontId="67" fillId="0" borderId="5" xfId="0" applyFont="1" applyBorder="true" applyAlignment="1">
      <alignment horizontal="center" vertical="center"/>
    </xf>
    <xf numFmtId="0" fontId="67" fillId="0" borderId="119" xfId="0" applyFont="1" applyBorder="true" applyAlignment="1">
      <alignment horizontal="center" vertical="center"/>
    </xf>
    <xf numFmtId="0" fontId="67" fillId="0" borderId="180" xfId="0" applyFont="1" applyBorder="true" applyAlignment="1">
      <alignment horizontal="center" vertical="center"/>
    </xf>
    <xf numFmtId="0" fontId="67" fillId="0" borderId="71" xfId="0" applyFont="1" applyBorder="true" applyAlignment="1">
      <alignment horizontal="center" vertical="center"/>
    </xf>
    <xf numFmtId="0" fontId="67" fillId="0" borderId="118" xfId="0" applyFont="1" applyBorder="true" applyAlignment="1">
      <alignment horizontal="center" vertical="center"/>
    </xf>
    <xf numFmtId="178" fontId="67" fillId="0" borderId="20" xfId="0" applyNumberFormat="1" applyFont="1" applyBorder="true" applyAlignment="1">
      <alignment horizontal="center" vertical="center"/>
    </xf>
    <xf numFmtId="178" fontId="67" fillId="0" borderId="24" xfId="0" applyNumberFormat="1" applyFont="1" applyBorder="true" applyAlignment="1">
      <alignment horizontal="center" vertical="center"/>
    </xf>
    <xf numFmtId="2" fontId="67" fillId="0" borderId="4" xfId="0" applyNumberFormat="1" applyFont="1" applyBorder="true" applyAlignment="1">
      <alignment horizontal="center" vertical="center"/>
    </xf>
    <xf numFmtId="2" fontId="67" fillId="0" borderId="7" xfId="0" applyNumberFormat="1" applyFont="1" applyBorder="true" applyAlignment="1">
      <alignment horizontal="center" vertical="center"/>
    </xf>
    <xf numFmtId="2" fontId="67" fillId="0" borderId="10" xfId="0" applyNumberFormat="1" applyFont="1" applyBorder="true" applyAlignment="1">
      <alignment horizontal="center" vertical="center"/>
    </xf>
    <xf numFmtId="2" fontId="12" fillId="0" borderId="12" xfId="0" applyNumberFormat="1" applyFont="1" applyBorder="true" applyAlignment="1">
      <alignment horizontal="center" vertical="center"/>
    </xf>
    <xf numFmtId="0" fontId="12" fillId="0" borderId="4" xfId="1" applyNumberFormat="1" applyFont="1" applyFill="1" applyBorder="true" applyAlignment="1">
      <alignment horizontal="center" vertical="center"/>
    </xf>
    <xf numFmtId="0" fontId="12" fillId="0" borderId="31" xfId="1" applyNumberFormat="1" applyFont="1" applyFill="1" applyBorder="true" applyAlignment="1">
      <alignment horizontal="center" vertical="center"/>
    </xf>
    <xf numFmtId="0" fontId="12" fillId="0" borderId="20" xfId="0" applyFont="1" applyBorder="true" applyAlignment="1">
      <alignment horizontal="center" vertical="center"/>
    </xf>
    <xf numFmtId="176" fontId="12" fillId="0" borderId="20" xfId="1" applyNumberFormat="1" applyFont="1" applyBorder="true" applyAlignment="1">
      <alignment horizontal="center" vertical="center" wrapText="1"/>
    </xf>
    <xf numFmtId="184" fontId="12" fillId="0" borderId="20" xfId="1" applyNumberFormat="1" applyFont="1" applyBorder="true" applyAlignment="1">
      <alignment horizontal="center" vertical="center" wrapText="1"/>
    </xf>
    <xf numFmtId="0" fontId="12" fillId="0" borderId="8" xfId="0" applyFont="1" applyBorder="true" applyAlignment="1">
      <alignment horizontal="center" vertical="center"/>
    </xf>
    <xf numFmtId="0" fontId="12" fillId="0" borderId="9" xfId="0" applyFont="1" applyBorder="true" applyAlignment="1">
      <alignment horizontal="center" vertical="center"/>
    </xf>
    <xf numFmtId="0" fontId="12" fillId="0" borderId="21" xfId="0" applyFont="1" applyBorder="true" applyAlignment="1">
      <alignment horizontal="center" vertical="center"/>
    </xf>
    <xf numFmtId="9" fontId="12" fillId="0" borderId="12" xfId="4" applyFont="1" applyBorder="true" applyAlignment="1">
      <alignment horizontal="center" vertical="center"/>
    </xf>
    <xf numFmtId="0" fontId="12" fillId="0" borderId="44" xfId="0" applyFont="1" applyBorder="true" applyAlignment="1">
      <alignment horizontal="center" vertical="center"/>
    </xf>
    <xf numFmtId="0" fontId="12" fillId="0" borderId="123" xfId="0" applyFont="1" applyBorder="true" applyAlignment="1">
      <alignment horizontal="center" vertical="center"/>
    </xf>
    <xf numFmtId="0" fontId="12" fillId="0" borderId="190" xfId="0" applyFont="1" applyBorder="true" applyAlignment="1">
      <alignment horizontal="center" vertical="center"/>
    </xf>
    <xf numFmtId="2" fontId="12" fillId="0" borderId="12" xfId="0" applyNumberFormat="1" applyFont="1" applyBorder="true" applyAlignment="1">
      <alignment horizontal="center" vertical="center"/>
    </xf>
    <xf numFmtId="0" fontId="12" fillId="0" borderId="176" xfId="0" applyFont="1" applyBorder="true" applyAlignment="1">
      <alignment horizontal="center" vertical="center"/>
    </xf>
    <xf numFmtId="0" fontId="12" fillId="0" borderId="181" xfId="0" applyFont="1" applyBorder="true" applyAlignment="1">
      <alignment horizontal="center" vertical="center"/>
    </xf>
    <xf numFmtId="178" fontId="12" fillId="0" borderId="2" xfId="0" applyNumberFormat="1" applyFont="1" applyBorder="true" applyAlignment="1">
      <alignment horizontal="center" vertical="center"/>
    </xf>
    <xf numFmtId="178" fontId="12" fillId="0" borderId="25" xfId="0" applyNumberFormat="1" applyFont="1" applyBorder="true" applyAlignment="1">
      <alignment horizontal="center" vertical="center"/>
    </xf>
  </cellXfs>
  <cellStyles count="9">
    <cellStyle name="백분율" xfId="4" builtinId="5"/>
    <cellStyle name="백분율 2" xfId="3"/>
    <cellStyle name="백분율 3" xfId="8"/>
    <cellStyle name="쉼표 [0]" xfId="1" builtinId="6"/>
    <cellStyle name="쉼표 [0] 2" xfId="7"/>
    <cellStyle name="표준" xfId="0" builtinId="0"/>
    <cellStyle name="표준 2" xfId="2"/>
    <cellStyle name="표준 3" xfId="5"/>
    <cellStyle name="표준 4" xfId="6"/>
  </cellStyles>
  <dxfs count="0"/>
  <tableStyles count="0" defaultTableStyle="TableStyleMedium2" defaultPivotStyle="PivotStyleLight16"/>
  <colors>
    <mruColors>
      <color rgb="FF0000CC"/>
      <color rgb="FFFFFF99"/>
      <color rgb="FFF8A968"/>
      <color rgb="FFD3C13B"/>
      <color rgb="FFFFFF66"/>
      <color rgb="FFFFCC00"/>
      <color rgb="FFF3AFAF"/>
      <color rgb="FF00CCFF"/>
      <color rgb="FF0099CC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calcChain" Target="calcChain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charts/_rels/chart1.xml.rels><?xml version="1.0" encoding="UTF-8"?>

<Relationships xmlns="http://schemas.openxmlformats.org/package/2006/relationships">
  <Relationship Id="rId1" Type="http://schemas.microsoft.com/office/2011/relationships/chartStyle" Target="style1.xml"/>
  <Relationship Id="rId2" Type="http://schemas.microsoft.com/office/2011/relationships/chartColorStyle" Target="colors1.xml"/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ko-KR" sz="1100"/>
              <a:t>성상별 반입 비율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3442892736004243E-2"/>
          <c:y val="7.7464695907315348E-2"/>
          <c:w val="0.85686852896132537"/>
          <c:h val="0.812368147196663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'20~ 반입현황'!$L$4</c:f>
              <c:strCache>
                <c:ptCount val="1"/>
                <c:pt idx="0">
                  <c:v>고농도침출수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'20~ 반입현황'!$M$3:$Q$3</c:f>
              <c:strCache>
                <c:ptCount val="5"/>
                <c:pt idx="0">
                  <c:v>2020년</c:v>
                </c:pt>
                <c:pt idx="1">
                  <c:v>2021년</c:v>
                </c:pt>
                <c:pt idx="2">
                  <c:v>2022년</c:v>
                </c:pt>
                <c:pt idx="3">
                  <c:v>2023년</c:v>
                </c:pt>
                <c:pt idx="4">
                  <c:v>2024년</c:v>
                </c:pt>
              </c:strCache>
            </c:strRef>
          </c:cat>
          <c:val>
            <c:numRef>
              <c:f>'20~ 반입현황'!$M$4:$Q$4</c:f>
              <c:numCache>
                <c:formatCode>0%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6ED-4CA3-9062-4C8D97E68A03}"/>
            </c:ext>
          </c:extLst>
        </c:ser>
        <c:ser>
          <c:idx val="1"/>
          <c:order val="1"/>
          <c:tx>
            <c:strRef>
              <c:f>'20~ 반입현황'!$L$5</c:f>
              <c:strCache>
                <c:ptCount val="1"/>
                <c:pt idx="0">
                  <c:v>기타일반계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'20~ 반입현황'!$M$3:$Q$3</c:f>
              <c:strCache>
                <c:ptCount val="5"/>
                <c:pt idx="0">
                  <c:v>2020년</c:v>
                </c:pt>
                <c:pt idx="1">
                  <c:v>2021년</c:v>
                </c:pt>
                <c:pt idx="2">
                  <c:v>2022년</c:v>
                </c:pt>
                <c:pt idx="3">
                  <c:v>2023년</c:v>
                </c:pt>
                <c:pt idx="4">
                  <c:v>2024년</c:v>
                </c:pt>
              </c:strCache>
            </c:strRef>
          </c:cat>
          <c:val>
            <c:numRef>
              <c:f>'20~ 반입현황'!$M$5:$Q$5</c:f>
              <c:numCache>
                <c:formatCode>0%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6ED-4CA3-9062-4C8D97E68A03}"/>
            </c:ext>
          </c:extLst>
        </c:ser>
        <c:ser>
          <c:idx val="2"/>
          <c:order val="2"/>
          <c:tx>
            <c:strRef>
              <c:f>'20~ 반입현황'!$L$6</c:f>
              <c:strCache>
                <c:ptCount val="1"/>
                <c:pt idx="0">
                  <c:v>그외 폐수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'20~ 반입현황'!$M$3:$Q$3</c:f>
              <c:strCache>
                <c:ptCount val="5"/>
                <c:pt idx="0">
                  <c:v>2020년</c:v>
                </c:pt>
                <c:pt idx="1">
                  <c:v>2021년</c:v>
                </c:pt>
                <c:pt idx="2">
                  <c:v>2022년</c:v>
                </c:pt>
                <c:pt idx="3">
                  <c:v>2023년</c:v>
                </c:pt>
                <c:pt idx="4">
                  <c:v>2024년</c:v>
                </c:pt>
              </c:strCache>
            </c:strRef>
          </c:cat>
          <c:val>
            <c:numRef>
              <c:f>'20~ 반입현황'!$M$6:$Q$6</c:f>
              <c:numCache>
                <c:formatCode>0%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6ED-4CA3-9062-4C8D97E68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788800"/>
        <c:axId val="1652784992"/>
      </c:barChart>
      <c:catAx>
        <c:axId val="165278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2784992"/>
        <c:crosses val="autoZero"/>
        <c:auto val="1"/>
        <c:lblAlgn val="ctr"/>
        <c:lblOffset val="100"/>
        <c:noMultiLvlLbl val="0"/>
      </c:catAx>
      <c:valAx>
        <c:axId val="165278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278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 i="0" baseline="0">
          <a:solidFill>
            <a:sysClr val="windowText" lastClr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16</xdr:col>
      <xdr:colOff>100177</xdr:colOff>
      <xdr:row>27</xdr:row>
      <xdr:rowOff>107738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37AEB03-45C9-F327-C047-334AFE820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2.vml"/>
  <Relationship Id="rId3" Type="http://schemas.openxmlformats.org/officeDocument/2006/relationships/comments" Target="../comments2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F55"/>
  <sheetViews>
    <sheetView zoomScaleNormal="100" zoomScaleSheetLayoutView="85" workbookViewId="0">
      <pane xSplit="1" ySplit="4" topLeftCell="B23" activePane="bottomRight" state="frozen"/>
      <selection pane="topRight" activeCell="B1" sqref="B1"/>
      <selection pane="bottomLeft" activeCell="A6" sqref="A6"/>
      <selection pane="bottomRight" sqref="A1:AV1"/>
    </sheetView>
  </sheetViews>
  <sheetFormatPr defaultRowHeight="13.5"/>
  <cols>
    <col min="1" max="1" customWidth="true" width="5.77734375" collapsed="true"/>
    <col min="2" max="5" customWidth="true" width="7.77734375" collapsed="true"/>
    <col min="6" max="6" customWidth="true" hidden="true" width="7.5546875" collapsed="true"/>
    <col min="7" max="8" customWidth="true" width="7.77734375" collapsed="true"/>
    <col min="9" max="9" customWidth="true" hidden="true" width="7.77734375" collapsed="true"/>
    <col min="10" max="10" customWidth="true" width="7.77734375" collapsed="true"/>
    <col min="11" max="11" customWidth="true" hidden="true" width="7.77734375" collapsed="true"/>
    <col min="12" max="12" customWidth="true" width="7.77734375" collapsed="true"/>
    <col min="13" max="15" customWidth="true" hidden="true" width="7.77734375" collapsed="true"/>
    <col min="16" max="16" customWidth="true" width="6.77734375" collapsed="true"/>
    <col min="17" max="17" customWidth="true" width="7.77734375" collapsed="true"/>
    <col min="18" max="22" customWidth="true" hidden="true" width="6.77734375" collapsed="true"/>
    <col min="23" max="23" customWidth="true" hidden="true" width="7.77734375" collapsed="true"/>
    <col min="24" max="24" customWidth="true" width="7.6640625" collapsed="true"/>
    <col min="25" max="25" customWidth="true" hidden="true" width="6.77734375" collapsed="true"/>
    <col min="26" max="26" customWidth="true" width="6.77734375" collapsed="true"/>
    <col min="27" max="30" customWidth="true" hidden="true" width="6.77734375" collapsed="true"/>
    <col min="31" max="31" customWidth="true" width="8.0" collapsed="true"/>
    <col min="32" max="32" customWidth="true" width="9.6640625" collapsed="true"/>
    <col min="33" max="34" customWidth="true" width="7.77734375" collapsed="true"/>
    <col min="35" max="36" customWidth="true" hidden="true" width="7.77734375" collapsed="true"/>
    <col min="37" max="37" customWidth="true" width="6.77734375" collapsed="true"/>
    <col min="38" max="38" customWidth="true" width="7.77734375" collapsed="true"/>
    <col min="39" max="40" customWidth="true" hidden="true" width="7.77734375" collapsed="true"/>
    <col min="41" max="42" customWidth="true" width="7.77734375" collapsed="true"/>
    <col min="43" max="45" customWidth="true" hidden="true" width="6.33203125" collapsed="true"/>
    <col min="46" max="46" customWidth="true" width="6.33203125" collapsed="true"/>
    <col min="47" max="47" customWidth="true" width="2.33203125" collapsed="true"/>
    <col min="48" max="49" customWidth="true" width="7.77734375" collapsed="true"/>
    <col min="52" max="52" customWidth="true" width="9.77734375" collapsed="true"/>
    <col min="56" max="57" bestFit="true" customWidth="true" width="10.21875" collapsed="true"/>
    <col min="58" max="58" bestFit="true" customWidth="true" width="10.6640625" collapsed="true"/>
  </cols>
  <sheetData>
    <row r="1" spans="1:57" ht="27" thickBot="1">
      <c r="A1" s="747"/>
      <c r="B1" s="747"/>
      <c r="C1" s="747"/>
      <c r="D1" s="747"/>
      <c r="E1" s="747"/>
      <c r="F1" s="747"/>
      <c r="G1" s="747"/>
      <c r="H1" s="747"/>
      <c r="I1" s="747"/>
      <c r="J1" s="747"/>
      <c r="K1" s="747"/>
      <c r="L1" s="747"/>
      <c r="M1" s="747"/>
      <c r="N1" s="747"/>
      <c r="O1" s="747"/>
      <c r="P1" s="747"/>
      <c r="Q1" s="747"/>
      <c r="R1" s="747"/>
      <c r="S1" s="747"/>
      <c r="T1" s="747"/>
      <c r="U1" s="747"/>
      <c r="V1" s="747"/>
      <c r="W1" s="747"/>
      <c r="X1" s="747"/>
      <c r="Y1" s="747"/>
      <c r="Z1" s="747"/>
      <c r="AA1" s="747"/>
      <c r="AB1" s="747"/>
      <c r="AC1" s="747"/>
      <c r="AD1" s="747"/>
      <c r="AE1" s="747"/>
      <c r="AF1" s="747"/>
      <c r="AG1" s="747"/>
      <c r="AH1" s="747"/>
      <c r="AI1" s="747"/>
      <c r="AJ1" s="747"/>
      <c r="AK1" s="747"/>
      <c r="AL1" s="747"/>
      <c r="AM1" s="747"/>
      <c r="AN1" s="747"/>
      <c r="AO1" s="747"/>
      <c r="AP1" s="747"/>
      <c r="AQ1" s="747"/>
      <c r="AR1" s="747"/>
      <c r="AS1" s="747"/>
      <c r="AT1" s="747"/>
      <c r="AU1" s="747"/>
      <c r="AV1" s="747"/>
      <c r="AW1" s="13"/>
    </row>
    <row r="2" spans="1:57" ht="21" customHeight="1" thickBot="1">
      <c r="A2" s="748" t="s">
        <v>0</v>
      </c>
      <c r="B2" s="750"/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0"/>
      <c r="U2" s="750"/>
      <c r="V2" s="750"/>
      <c r="W2" s="750"/>
      <c r="X2" s="750"/>
      <c r="Y2" s="750"/>
      <c r="Z2" s="750"/>
      <c r="AA2" s="750"/>
      <c r="AB2" s="750"/>
      <c r="AC2" s="750"/>
      <c r="AD2" s="750"/>
      <c r="AE2" s="750"/>
      <c r="AF2" s="750"/>
      <c r="AG2" s="750"/>
      <c r="AH2" s="750"/>
      <c r="AI2" s="750"/>
      <c r="AJ2" s="750"/>
      <c r="AK2" s="750"/>
      <c r="AL2" s="750"/>
      <c r="AM2" s="750"/>
      <c r="AN2" s="750"/>
      <c r="AO2" s="750"/>
      <c r="AP2" s="750"/>
      <c r="AQ2" s="750"/>
      <c r="AR2" s="750"/>
      <c r="AS2" s="750"/>
      <c r="AT2" s="750"/>
      <c r="AU2" s="750"/>
      <c r="AV2" s="750"/>
      <c r="AW2" s="751"/>
      <c r="AY2" s="752"/>
      <c r="AZ2" s="752"/>
      <c r="BA2" s="752"/>
      <c r="BB2" s="752"/>
    </row>
    <row r="3" spans="1:57" ht="50.1" customHeight="1">
      <c r="A3" s="749"/>
      <c r="B3" s="62" t="s">
        <v>71</v>
      </c>
      <c r="C3" s="63" t="s">
        <v>61</v>
      </c>
      <c r="D3" s="25" t="s">
        <v>175</v>
      </c>
      <c r="E3" s="24" t="s">
        <v>173</v>
      </c>
      <c r="F3" s="24"/>
      <c r="G3" s="24" t="s">
        <v>206</v>
      </c>
      <c r="H3" s="24" t="s">
        <v>205</v>
      </c>
      <c r="I3" s="24" t="s">
        <v>28</v>
      </c>
      <c r="J3" s="24" t="s">
        <v>151</v>
      </c>
      <c r="K3" s="24" t="s">
        <v>174</v>
      </c>
      <c r="L3" s="24" t="s">
        <v>203</v>
      </c>
      <c r="M3" s="24" t="s">
        <v>48</v>
      </c>
      <c r="N3" s="24" t="s">
        <v>52</v>
      </c>
      <c r="O3" s="24" t="s">
        <v>53</v>
      </c>
      <c r="P3" s="26" t="s">
        <v>43</v>
      </c>
      <c r="Q3" s="27" t="s">
        <v>18</v>
      </c>
      <c r="R3" s="28" t="s">
        <v>193</v>
      </c>
      <c r="S3" s="28" t="s">
        <v>20</v>
      </c>
      <c r="T3" s="29" t="s">
        <v>32</v>
      </c>
      <c r="U3" s="30" t="s">
        <v>21</v>
      </c>
      <c r="V3" s="316" t="s">
        <v>66</v>
      </c>
      <c r="W3" s="30" t="s">
        <v>72</v>
      </c>
      <c r="X3" s="358" t="s">
        <v>38</v>
      </c>
      <c r="Y3" s="359" t="s">
        <v>181</v>
      </c>
      <c r="Z3" s="359" t="s">
        <v>202</v>
      </c>
      <c r="AA3" s="359" t="s">
        <v>49</v>
      </c>
      <c r="AB3" s="359" t="s">
        <v>50</v>
      </c>
      <c r="AC3" s="359" t="s">
        <v>51</v>
      </c>
      <c r="AD3" s="359" t="s">
        <v>24</v>
      </c>
      <c r="AE3" s="360" t="s">
        <v>33</v>
      </c>
      <c r="AF3" s="361" t="s">
        <v>19</v>
      </c>
      <c r="AG3" s="356" t="s">
        <v>198</v>
      </c>
      <c r="AH3" s="31" t="s">
        <v>42</v>
      </c>
      <c r="AI3" s="31" t="s">
        <v>36</v>
      </c>
      <c r="AJ3" s="31" t="s">
        <v>114</v>
      </c>
      <c r="AK3" s="32" t="s">
        <v>201</v>
      </c>
      <c r="AL3" s="313" t="s">
        <v>196</v>
      </c>
      <c r="AM3" s="33" t="s">
        <v>36</v>
      </c>
      <c r="AN3" s="315" t="s">
        <v>114</v>
      </c>
      <c r="AO3" s="322" t="s">
        <v>200</v>
      </c>
      <c r="AP3" s="346" t="s">
        <v>26</v>
      </c>
      <c r="AQ3" s="309" t="s">
        <v>36</v>
      </c>
      <c r="AR3" s="34" t="s">
        <v>47</v>
      </c>
      <c r="AS3" s="311" t="s">
        <v>48</v>
      </c>
      <c r="AT3" s="753" t="s">
        <v>156</v>
      </c>
      <c r="AU3" s="754"/>
      <c r="AV3" s="229" t="s">
        <v>213</v>
      </c>
      <c r="AW3" s="86" t="s">
        <v>211</v>
      </c>
      <c r="AY3" s="417"/>
      <c r="AZ3" s="417"/>
      <c r="BA3" s="417"/>
      <c r="BB3" s="417"/>
    </row>
    <row r="4" spans="1:57" ht="27.75" customHeight="1" thickBot="1">
      <c r="A4" s="14" t="s">
        <v>27</v>
      </c>
      <c r="B4" s="35" t="s">
        <v>172</v>
      </c>
      <c r="C4" s="35" t="s">
        <v>157</v>
      </c>
      <c r="D4" s="35" t="s">
        <v>62</v>
      </c>
      <c r="E4" s="36" t="s">
        <v>159</v>
      </c>
      <c r="F4" s="36"/>
      <c r="G4" s="36" t="s">
        <v>178</v>
      </c>
      <c r="H4" s="36" t="s">
        <v>158</v>
      </c>
      <c r="I4" s="36"/>
      <c r="J4" s="36" t="s">
        <v>179</v>
      </c>
      <c r="K4" s="36" t="s">
        <v>160</v>
      </c>
      <c r="L4" s="36" t="s">
        <v>204</v>
      </c>
      <c r="M4" s="36"/>
      <c r="N4" s="36"/>
      <c r="O4" s="37"/>
      <c r="P4" s="38"/>
      <c r="Q4" s="39"/>
      <c r="R4" s="40" t="s">
        <v>183</v>
      </c>
      <c r="S4" s="40"/>
      <c r="T4" s="40" t="s">
        <v>64</v>
      </c>
      <c r="U4" s="41"/>
      <c r="V4" s="317" t="s">
        <v>65</v>
      </c>
      <c r="W4" s="355" t="s">
        <v>35</v>
      </c>
      <c r="X4" s="317" t="s">
        <v>161</v>
      </c>
      <c r="Y4" s="40" t="s">
        <v>182</v>
      </c>
      <c r="Z4" s="41" t="s">
        <v>207</v>
      </c>
      <c r="AA4" s="41"/>
      <c r="AB4" s="41"/>
      <c r="AC4" s="41"/>
      <c r="AD4" s="41"/>
      <c r="AE4" s="42"/>
      <c r="AF4" s="362" t="s">
        <v>60</v>
      </c>
      <c r="AG4" s="357" t="s">
        <v>199</v>
      </c>
      <c r="AH4" s="43" t="s">
        <v>171</v>
      </c>
      <c r="AI4" s="43"/>
      <c r="AJ4" s="43"/>
      <c r="AK4" s="44"/>
      <c r="AL4" s="314"/>
      <c r="AM4" s="45"/>
      <c r="AN4" s="308"/>
      <c r="AO4" s="323"/>
      <c r="AP4" s="347"/>
      <c r="AQ4" s="310"/>
      <c r="AR4" s="46"/>
      <c r="AS4" s="312"/>
      <c r="AT4" s="745" t="s">
        <v>191</v>
      </c>
      <c r="AU4" s="746"/>
      <c r="AV4" s="230"/>
      <c r="AW4" s="47"/>
      <c r="AY4" s="418"/>
      <c r="AZ4" s="418"/>
      <c r="BA4" s="419"/>
      <c r="BB4" s="1"/>
    </row>
    <row r="5" spans="1:57" s="5" customFormat="1" ht="21" customHeight="1">
      <c r="A5" s="376">
        <v>1</v>
      </c>
      <c r="B5" s="377"/>
      <c r="C5" s="377"/>
      <c r="D5" s="377"/>
      <c r="E5" s="377"/>
      <c r="F5" s="377"/>
      <c r="G5" s="377"/>
      <c r="H5" s="377"/>
      <c r="I5" s="377"/>
      <c r="J5" s="377"/>
      <c r="K5" s="377"/>
      <c r="L5" s="377"/>
      <c r="M5" s="378"/>
      <c r="N5" s="378"/>
      <c r="O5" s="379"/>
      <c r="P5" s="380">
        <f t="shared" ref="P5:P29" si="0">SUM(B5:O5)</f>
        <v>0</v>
      </c>
      <c r="Q5" s="381" t="e">
        <f t="shared" ref="Q5:Q35" si="1">P5/AV5</f>
        <v>#DIV/0!</v>
      </c>
      <c r="R5" s="382"/>
      <c r="S5" s="377"/>
      <c r="T5" s="377"/>
      <c r="U5" s="383"/>
      <c r="V5" s="445"/>
      <c r="W5" s="383"/>
      <c r="X5" s="445"/>
      <c r="Y5" s="377"/>
      <c r="Z5" s="377"/>
      <c r="AA5" s="377"/>
      <c r="AB5" s="377"/>
      <c r="AC5" s="377"/>
      <c r="AD5" s="377"/>
      <c r="AE5" s="383"/>
      <c r="AF5" s="384">
        <f t="shared" ref="AF5:AF35" si="2">SUM(R5:AE5)</f>
        <v>0</v>
      </c>
      <c r="AG5" s="385"/>
      <c r="AH5" s="377"/>
      <c r="AI5" s="377"/>
      <c r="AJ5" s="377"/>
      <c r="AK5" s="386"/>
      <c r="AL5" s="385">
        <f>AG5+AK5+AH5</f>
        <v>0</v>
      </c>
      <c r="AM5" s="380"/>
      <c r="AN5" s="383"/>
      <c r="AO5" s="387"/>
      <c r="AP5" s="388"/>
      <c r="AQ5" s="385"/>
      <c r="AR5" s="377"/>
      <c r="AS5" s="383"/>
      <c r="AT5" s="757"/>
      <c r="AU5" s="758"/>
      <c r="AV5" s="389">
        <f>P5+AF5+AL5+AM5+AP5+AO5+AT5</f>
        <v>0</v>
      </c>
      <c r="AW5" s="390"/>
      <c r="AY5" s="420"/>
      <c r="AZ5" s="420"/>
      <c r="BA5" s="421"/>
      <c r="BB5" s="421"/>
    </row>
    <row r="6" spans="1:57" s="4" customFormat="1" ht="21" customHeight="1" thickBot="1">
      <c r="A6" s="262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10"/>
      <c r="P6" s="11">
        <f t="shared" si="0"/>
        <v>0</v>
      </c>
      <c r="Q6" s="270" t="e">
        <f t="shared" si="1"/>
        <v>#DIV/0!</v>
      </c>
      <c r="R6" s="9"/>
      <c r="S6" s="7"/>
      <c r="T6" s="7"/>
      <c r="U6" s="10"/>
      <c r="V6" s="446"/>
      <c r="W6" s="10"/>
      <c r="X6" s="446"/>
      <c r="Y6" s="7"/>
      <c r="Z6" s="7"/>
      <c r="AA6" s="7"/>
      <c r="AB6" s="7"/>
      <c r="AC6" s="7"/>
      <c r="AD6" s="7"/>
      <c r="AE6" s="10"/>
      <c r="AF6" s="365">
        <f t="shared" si="2"/>
        <v>0</v>
      </c>
      <c r="AG6" s="9"/>
      <c r="AH6" s="7"/>
      <c r="AI6" s="7"/>
      <c r="AJ6" s="7"/>
      <c r="AK6" s="8"/>
      <c r="AL6" s="9">
        <f t="shared" ref="AL6:AL35" si="3">AG6+AK6+AH6</f>
        <v>0</v>
      </c>
      <c r="AM6" s="11"/>
      <c r="AN6" s="10"/>
      <c r="AO6" s="325"/>
      <c r="AP6" s="349"/>
      <c r="AQ6" s="9"/>
      <c r="AR6" s="7"/>
      <c r="AS6" s="10"/>
      <c r="AT6" s="759"/>
      <c r="AU6" s="760"/>
      <c r="AV6" s="12">
        <f t="shared" ref="AV6:AV35" si="4">P6+AF6+AL6+AM6+AP6+AO6+AT6</f>
        <v>0</v>
      </c>
      <c r="AW6" s="267"/>
      <c r="AY6" s="422"/>
      <c r="AZ6" s="422"/>
      <c r="BA6" s="423"/>
      <c r="BB6" s="423"/>
    </row>
    <row r="7" spans="1:57" s="4" customFormat="1" ht="21" customHeight="1">
      <c r="A7" s="261">
        <v>3</v>
      </c>
      <c r="B7" s="245"/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6"/>
      <c r="P7" s="248">
        <f t="shared" si="0"/>
        <v>0</v>
      </c>
      <c r="Q7" s="271" t="e">
        <f t="shared" si="1"/>
        <v>#DIV/0!</v>
      </c>
      <c r="R7" s="244"/>
      <c r="S7" s="245"/>
      <c r="T7" s="245"/>
      <c r="U7" s="246"/>
      <c r="V7" s="447"/>
      <c r="W7" s="246"/>
      <c r="X7" s="447"/>
      <c r="Y7" s="245"/>
      <c r="Z7" s="245"/>
      <c r="AA7" s="245"/>
      <c r="AB7" s="245"/>
      <c r="AC7" s="245"/>
      <c r="AD7" s="245"/>
      <c r="AE7" s="246"/>
      <c r="AF7" s="366">
        <f t="shared" si="2"/>
        <v>0</v>
      </c>
      <c r="AG7" s="244"/>
      <c r="AH7" s="245"/>
      <c r="AI7" s="245"/>
      <c r="AJ7" s="245"/>
      <c r="AK7" s="247"/>
      <c r="AL7" s="244">
        <f t="shared" si="3"/>
        <v>0</v>
      </c>
      <c r="AM7" s="248"/>
      <c r="AN7" s="246"/>
      <c r="AO7" s="326"/>
      <c r="AP7" s="350"/>
      <c r="AQ7" s="244"/>
      <c r="AR7" s="245"/>
      <c r="AS7" s="246"/>
      <c r="AT7" s="761"/>
      <c r="AU7" s="762"/>
      <c r="AV7" s="249">
        <f t="shared" si="4"/>
        <v>0</v>
      </c>
      <c r="AW7" s="268"/>
      <c r="AY7" s="422"/>
      <c r="AZ7" s="422"/>
      <c r="BA7" s="423"/>
      <c r="BB7" s="423"/>
    </row>
    <row r="8" spans="1:57" s="6" customFormat="1" ht="21" customHeight="1">
      <c r="A8" s="259">
        <v>4</v>
      </c>
      <c r="B8" s="238"/>
      <c r="C8" s="238"/>
      <c r="D8" s="238"/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41"/>
      <c r="P8" s="242">
        <f t="shared" si="0"/>
        <v>0</v>
      </c>
      <c r="Q8" s="269" t="e">
        <f t="shared" si="1"/>
        <v>#DIV/0!</v>
      </c>
      <c r="R8" s="240"/>
      <c r="S8" s="238"/>
      <c r="T8" s="238"/>
      <c r="U8" s="241"/>
      <c r="V8" s="444"/>
      <c r="W8" s="241"/>
      <c r="X8" s="444"/>
      <c r="Y8" s="238"/>
      <c r="Z8" s="238"/>
      <c r="AA8" s="238"/>
      <c r="AB8" s="238"/>
      <c r="AC8" s="238"/>
      <c r="AD8" s="238"/>
      <c r="AE8" s="241"/>
      <c r="AF8" s="363">
        <f t="shared" si="2"/>
        <v>0</v>
      </c>
      <c r="AG8" s="240"/>
      <c r="AH8" s="238"/>
      <c r="AI8" s="238"/>
      <c r="AJ8" s="238"/>
      <c r="AK8" s="239"/>
      <c r="AL8" s="240">
        <f t="shared" si="3"/>
        <v>0</v>
      </c>
      <c r="AM8" s="242"/>
      <c r="AN8" s="241"/>
      <c r="AO8" s="324"/>
      <c r="AP8" s="348"/>
      <c r="AQ8" s="240"/>
      <c r="AR8" s="238"/>
      <c r="AS8" s="241"/>
      <c r="AT8" s="755"/>
      <c r="AU8" s="756"/>
      <c r="AV8" s="243">
        <f t="shared" si="4"/>
        <v>0</v>
      </c>
      <c r="AW8" s="266"/>
      <c r="AY8" s="13"/>
      <c r="AZ8" s="13"/>
      <c r="BA8" s="424"/>
      <c r="BB8" s="424"/>
    </row>
    <row r="9" spans="1:57" s="123" customFormat="1" ht="21" customHeight="1">
      <c r="A9" s="259">
        <v>5</v>
      </c>
      <c r="B9" s="251"/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38"/>
      <c r="N9" s="238"/>
      <c r="O9" s="241"/>
      <c r="P9" s="242">
        <f t="shared" si="0"/>
        <v>0</v>
      </c>
      <c r="Q9" s="269" t="e">
        <f t="shared" si="1"/>
        <v>#DIV/0!</v>
      </c>
      <c r="R9" s="240"/>
      <c r="S9" s="238"/>
      <c r="T9" s="238"/>
      <c r="U9" s="241"/>
      <c r="V9" s="444"/>
      <c r="W9" s="241"/>
      <c r="X9" s="444"/>
      <c r="Y9" s="238"/>
      <c r="Z9" s="238"/>
      <c r="AA9" s="238"/>
      <c r="AB9" s="238"/>
      <c r="AC9" s="238"/>
      <c r="AD9" s="238"/>
      <c r="AE9" s="241"/>
      <c r="AF9" s="363">
        <f t="shared" si="2"/>
        <v>0</v>
      </c>
      <c r="AG9" s="240"/>
      <c r="AH9" s="251"/>
      <c r="AI9" s="251"/>
      <c r="AJ9" s="251"/>
      <c r="AK9" s="250"/>
      <c r="AL9" s="240">
        <f t="shared" si="3"/>
        <v>0</v>
      </c>
      <c r="AM9" s="242"/>
      <c r="AN9" s="241"/>
      <c r="AO9" s="324"/>
      <c r="AP9" s="348"/>
      <c r="AQ9" s="240"/>
      <c r="AR9" s="238"/>
      <c r="AS9" s="241"/>
      <c r="AT9" s="755"/>
      <c r="AU9" s="756"/>
      <c r="AV9" s="243">
        <f t="shared" si="4"/>
        <v>0</v>
      </c>
      <c r="AW9" s="266"/>
      <c r="AY9" s="13"/>
      <c r="AZ9" s="13"/>
      <c r="BA9" s="424"/>
      <c r="BB9" s="424"/>
      <c r="BE9" s="4"/>
    </row>
    <row r="10" spans="1:57" s="5" customFormat="1" ht="21" customHeight="1">
      <c r="A10" s="259">
        <v>6</v>
      </c>
      <c r="B10" s="238"/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41"/>
      <c r="P10" s="242">
        <f t="shared" si="0"/>
        <v>0</v>
      </c>
      <c r="Q10" s="269" t="e">
        <f t="shared" si="1"/>
        <v>#DIV/0!</v>
      </c>
      <c r="R10" s="240"/>
      <c r="S10" s="238"/>
      <c r="T10" s="238"/>
      <c r="U10" s="241"/>
      <c r="V10" s="444"/>
      <c r="W10" s="241"/>
      <c r="X10" s="444"/>
      <c r="Y10" s="238"/>
      <c r="Z10" s="238"/>
      <c r="AA10" s="238"/>
      <c r="AB10" s="238"/>
      <c r="AC10" s="238"/>
      <c r="AD10" s="238"/>
      <c r="AE10" s="241"/>
      <c r="AF10" s="363">
        <f t="shared" si="2"/>
        <v>0</v>
      </c>
      <c r="AG10" s="240"/>
      <c r="AH10" s="238"/>
      <c r="AI10" s="238"/>
      <c r="AJ10" s="238"/>
      <c r="AK10" s="239"/>
      <c r="AL10" s="240">
        <f t="shared" si="3"/>
        <v>0</v>
      </c>
      <c r="AM10" s="242"/>
      <c r="AN10" s="241"/>
      <c r="AO10" s="324"/>
      <c r="AP10" s="348"/>
      <c r="AQ10" s="240"/>
      <c r="AR10" s="238"/>
      <c r="AS10" s="241"/>
      <c r="AT10" s="755"/>
      <c r="AU10" s="756"/>
      <c r="AV10" s="243">
        <f t="shared" si="4"/>
        <v>0</v>
      </c>
      <c r="AW10" s="266"/>
      <c r="AY10" s="422"/>
      <c r="AZ10" s="420"/>
      <c r="BA10" s="421"/>
      <c r="BB10" s="421"/>
      <c r="BE10" s="4"/>
    </row>
    <row r="11" spans="1:57" s="4" customFormat="1" ht="21" customHeight="1">
      <c r="A11" s="259">
        <v>7</v>
      </c>
      <c r="B11" s="238"/>
      <c r="C11" s="238"/>
      <c r="D11" s="238"/>
      <c r="E11" s="238"/>
      <c r="F11" s="238"/>
      <c r="G11" s="238"/>
      <c r="H11" s="238"/>
      <c r="I11" s="238"/>
      <c r="J11" s="238"/>
      <c r="K11" s="238"/>
      <c r="L11" s="238"/>
      <c r="M11" s="238"/>
      <c r="N11" s="238"/>
      <c r="O11" s="241"/>
      <c r="P11" s="242">
        <f t="shared" si="0"/>
        <v>0</v>
      </c>
      <c r="Q11" s="269" t="e">
        <f t="shared" si="1"/>
        <v>#DIV/0!</v>
      </c>
      <c r="R11" s="240"/>
      <c r="S11" s="238"/>
      <c r="T11" s="238"/>
      <c r="U11" s="241"/>
      <c r="V11" s="444"/>
      <c r="W11" s="241"/>
      <c r="X11" s="444"/>
      <c r="Y11" s="238"/>
      <c r="Z11" s="238"/>
      <c r="AA11" s="238"/>
      <c r="AB11" s="238"/>
      <c r="AC11" s="238"/>
      <c r="AD11" s="238"/>
      <c r="AE11" s="241"/>
      <c r="AF11" s="363">
        <f t="shared" si="2"/>
        <v>0</v>
      </c>
      <c r="AG11" s="240"/>
      <c r="AH11" s="238"/>
      <c r="AI11" s="238"/>
      <c r="AJ11" s="238"/>
      <c r="AK11" s="239"/>
      <c r="AL11" s="240">
        <f t="shared" si="3"/>
        <v>0</v>
      </c>
      <c r="AM11" s="242"/>
      <c r="AN11" s="241"/>
      <c r="AO11" s="375"/>
      <c r="AP11" s="348"/>
      <c r="AQ11" s="240"/>
      <c r="AR11" s="238"/>
      <c r="AS11" s="241"/>
      <c r="AT11" s="755"/>
      <c r="AU11" s="756"/>
      <c r="AV11" s="243">
        <f t="shared" si="4"/>
        <v>0</v>
      </c>
      <c r="AW11" s="266"/>
      <c r="AY11" s="422"/>
      <c r="AZ11" s="13"/>
      <c r="BA11" s="423"/>
      <c r="BB11" s="423"/>
      <c r="BD11" s="6"/>
    </row>
    <row r="12" spans="1:57" s="5" customFormat="1" ht="21" customHeight="1">
      <c r="A12" s="335">
        <v>8</v>
      </c>
      <c r="B12" s="336"/>
      <c r="C12" s="336"/>
      <c r="D12" s="336"/>
      <c r="E12" s="336"/>
      <c r="F12" s="336"/>
      <c r="G12" s="336"/>
      <c r="H12" s="336"/>
      <c r="I12" s="336"/>
      <c r="J12" s="336"/>
      <c r="K12" s="336"/>
      <c r="L12" s="336"/>
      <c r="M12" s="336"/>
      <c r="N12" s="336"/>
      <c r="O12" s="337"/>
      <c r="P12" s="338">
        <f t="shared" si="0"/>
        <v>0</v>
      </c>
      <c r="Q12" s="339" t="e">
        <f t="shared" si="1"/>
        <v>#DIV/0!</v>
      </c>
      <c r="R12" s="340"/>
      <c r="S12" s="336"/>
      <c r="T12" s="336"/>
      <c r="U12" s="337"/>
      <c r="V12" s="448"/>
      <c r="W12" s="337"/>
      <c r="X12" s="448"/>
      <c r="Y12" s="336"/>
      <c r="Z12" s="336"/>
      <c r="AA12" s="336"/>
      <c r="AB12" s="336"/>
      <c r="AC12" s="336"/>
      <c r="AD12" s="336"/>
      <c r="AE12" s="337"/>
      <c r="AF12" s="364">
        <f t="shared" si="2"/>
        <v>0</v>
      </c>
      <c r="AG12" s="340"/>
      <c r="AH12" s="336"/>
      <c r="AI12" s="336"/>
      <c r="AJ12" s="336"/>
      <c r="AK12" s="341"/>
      <c r="AL12" s="340">
        <f t="shared" si="3"/>
        <v>0</v>
      </c>
      <c r="AM12" s="338"/>
      <c r="AN12" s="337"/>
      <c r="AO12" s="342"/>
      <c r="AP12" s="370"/>
      <c r="AQ12" s="340"/>
      <c r="AR12" s="336"/>
      <c r="AS12" s="337"/>
      <c r="AT12" s="763"/>
      <c r="AU12" s="764"/>
      <c r="AV12" s="343">
        <f t="shared" si="4"/>
        <v>0</v>
      </c>
      <c r="AW12" s="344"/>
      <c r="AY12" s="423"/>
      <c r="AZ12" s="422"/>
      <c r="BA12" s="421"/>
      <c r="BB12" s="421"/>
    </row>
    <row r="13" spans="1:57" s="4" customFormat="1" ht="21" customHeight="1" thickBot="1">
      <c r="A13" s="262">
        <v>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10"/>
      <c r="P13" s="11">
        <f t="shared" si="0"/>
        <v>0</v>
      </c>
      <c r="Q13" s="270" t="e">
        <f t="shared" si="1"/>
        <v>#DIV/0!</v>
      </c>
      <c r="R13" s="9"/>
      <c r="S13" s="7"/>
      <c r="T13" s="7"/>
      <c r="U13" s="10"/>
      <c r="V13" s="446"/>
      <c r="W13" s="10"/>
      <c r="X13" s="446"/>
      <c r="Y13" s="7"/>
      <c r="Z13" s="7"/>
      <c r="AA13" s="7"/>
      <c r="AB13" s="7"/>
      <c r="AC13" s="7"/>
      <c r="AD13" s="7"/>
      <c r="AE13" s="10"/>
      <c r="AF13" s="365">
        <f t="shared" si="2"/>
        <v>0</v>
      </c>
      <c r="AG13" s="9"/>
      <c r="AH13" s="7"/>
      <c r="AI13" s="7"/>
      <c r="AJ13" s="7"/>
      <c r="AK13" s="8"/>
      <c r="AL13" s="9">
        <f t="shared" si="3"/>
        <v>0</v>
      </c>
      <c r="AM13" s="11"/>
      <c r="AN13" s="10"/>
      <c r="AO13" s="325"/>
      <c r="AP13" s="349"/>
      <c r="AQ13" s="9"/>
      <c r="AR13" s="7"/>
      <c r="AS13" s="10"/>
      <c r="AT13" s="759"/>
      <c r="AU13" s="760"/>
      <c r="AV13" s="12">
        <f t="shared" si="4"/>
        <v>0</v>
      </c>
      <c r="AW13" s="267"/>
      <c r="AY13" s="13"/>
      <c r="AZ13" s="423"/>
      <c r="BA13" s="423"/>
      <c r="BB13" s="423"/>
    </row>
    <row r="14" spans="1:57" s="4" customFormat="1" ht="21" customHeight="1">
      <c r="A14" s="261">
        <v>10</v>
      </c>
      <c r="B14" s="245"/>
      <c r="C14" s="245"/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6"/>
      <c r="P14" s="248">
        <f t="shared" si="0"/>
        <v>0</v>
      </c>
      <c r="Q14" s="271" t="e">
        <f t="shared" si="1"/>
        <v>#DIV/0!</v>
      </c>
      <c r="R14" s="244"/>
      <c r="S14" s="245"/>
      <c r="T14" s="245"/>
      <c r="U14" s="246"/>
      <c r="V14" s="447"/>
      <c r="W14" s="246"/>
      <c r="X14" s="447"/>
      <c r="Y14" s="245"/>
      <c r="Z14" s="245"/>
      <c r="AA14" s="245"/>
      <c r="AB14" s="245"/>
      <c r="AC14" s="245"/>
      <c r="AD14" s="245"/>
      <c r="AE14" s="246"/>
      <c r="AF14" s="366">
        <f t="shared" si="2"/>
        <v>0</v>
      </c>
      <c r="AG14" s="244"/>
      <c r="AH14" s="245"/>
      <c r="AI14" s="245"/>
      <c r="AJ14" s="245"/>
      <c r="AK14" s="247"/>
      <c r="AL14" s="244">
        <f t="shared" si="3"/>
        <v>0</v>
      </c>
      <c r="AM14" s="248"/>
      <c r="AN14" s="246"/>
      <c r="AO14" s="326"/>
      <c r="AP14" s="350"/>
      <c r="AQ14" s="244"/>
      <c r="AR14" s="245"/>
      <c r="AS14" s="246"/>
      <c r="AT14" s="761"/>
      <c r="AU14" s="762"/>
      <c r="AV14" s="249">
        <f t="shared" si="4"/>
        <v>0</v>
      </c>
      <c r="AW14" s="268"/>
      <c r="AY14" s="13"/>
      <c r="AZ14" s="423"/>
      <c r="BA14" s="423"/>
      <c r="BB14" s="423"/>
    </row>
    <row r="15" spans="1:57" s="6" customFormat="1" ht="21" customHeight="1">
      <c r="A15" s="259">
        <v>11</v>
      </c>
      <c r="B15" s="238"/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41"/>
      <c r="P15" s="242">
        <f t="shared" si="0"/>
        <v>0</v>
      </c>
      <c r="Q15" s="269" t="e">
        <f t="shared" si="1"/>
        <v>#DIV/0!</v>
      </c>
      <c r="R15" s="240"/>
      <c r="S15" s="238"/>
      <c r="T15" s="238"/>
      <c r="U15" s="241"/>
      <c r="V15" s="444"/>
      <c r="W15" s="241"/>
      <c r="X15" s="444"/>
      <c r="Y15" s="238"/>
      <c r="Z15" s="238"/>
      <c r="AA15" s="238"/>
      <c r="AB15" s="238"/>
      <c r="AC15" s="238"/>
      <c r="AD15" s="238"/>
      <c r="AE15" s="241"/>
      <c r="AF15" s="363">
        <f t="shared" si="2"/>
        <v>0</v>
      </c>
      <c r="AG15" s="240"/>
      <c r="AH15" s="238"/>
      <c r="AI15" s="238"/>
      <c r="AJ15" s="238"/>
      <c r="AK15" s="239"/>
      <c r="AL15" s="240">
        <f t="shared" si="3"/>
        <v>0</v>
      </c>
      <c r="AM15" s="242"/>
      <c r="AN15" s="241"/>
      <c r="AO15" s="324"/>
      <c r="AP15" s="348"/>
      <c r="AQ15" s="240"/>
      <c r="AR15" s="238"/>
      <c r="AS15" s="241"/>
      <c r="AT15" s="755"/>
      <c r="AU15" s="756"/>
      <c r="AV15" s="243">
        <f t="shared" si="4"/>
        <v>0</v>
      </c>
      <c r="AW15" s="266"/>
      <c r="AY15" s="422"/>
      <c r="AZ15" s="4"/>
      <c r="BA15" s="424"/>
      <c r="BB15" s="424"/>
      <c r="BC15" s="123"/>
      <c r="BD15" s="123"/>
      <c r="BE15" s="123"/>
    </row>
    <row r="16" spans="1:57" s="123" customFormat="1" ht="21" customHeight="1">
      <c r="A16" s="259">
        <v>12</v>
      </c>
      <c r="B16" s="238"/>
      <c r="C16" s="238"/>
      <c r="D16" s="238"/>
      <c r="E16" s="238"/>
      <c r="F16" s="238"/>
      <c r="G16" s="238"/>
      <c r="H16" s="238"/>
      <c r="I16" s="238"/>
      <c r="J16" s="238"/>
      <c r="K16" s="238"/>
      <c r="L16" s="238"/>
      <c r="M16" s="238"/>
      <c r="N16" s="238"/>
      <c r="O16" s="241"/>
      <c r="P16" s="242">
        <f t="shared" si="0"/>
        <v>0</v>
      </c>
      <c r="Q16" s="269" t="e">
        <f t="shared" si="1"/>
        <v>#DIV/0!</v>
      </c>
      <c r="R16" s="240"/>
      <c r="S16" s="238"/>
      <c r="T16" s="238"/>
      <c r="U16" s="241"/>
      <c r="V16" s="444"/>
      <c r="W16" s="241"/>
      <c r="X16" s="444"/>
      <c r="Y16" s="238"/>
      <c r="Z16" s="238"/>
      <c r="AA16" s="238"/>
      <c r="AB16" s="238"/>
      <c r="AC16" s="238"/>
      <c r="AD16" s="238"/>
      <c r="AE16" s="241"/>
      <c r="AF16" s="363">
        <f t="shared" si="2"/>
        <v>0</v>
      </c>
      <c r="AG16" s="240"/>
      <c r="AH16" s="238"/>
      <c r="AI16" s="238"/>
      <c r="AJ16" s="238"/>
      <c r="AK16" s="239"/>
      <c r="AL16" s="240">
        <f t="shared" si="3"/>
        <v>0</v>
      </c>
      <c r="AM16" s="242"/>
      <c r="AN16" s="241"/>
      <c r="AO16" s="324"/>
      <c r="AP16" s="348"/>
      <c r="AQ16" s="240"/>
      <c r="AR16" s="238"/>
      <c r="AS16" s="241"/>
      <c r="AT16" s="755"/>
      <c r="AU16" s="756"/>
      <c r="AV16" s="243">
        <f t="shared" si="4"/>
        <v>0</v>
      </c>
      <c r="AW16" s="266"/>
      <c r="AY16" s="422"/>
      <c r="AZ16" s="4"/>
      <c r="BA16" s="424"/>
      <c r="BB16" s="424"/>
    </row>
    <row r="17" spans="1:58" s="5" customFormat="1" ht="21" customHeight="1">
      <c r="A17" s="259">
        <v>13</v>
      </c>
      <c r="B17" s="238"/>
      <c r="C17" s="238"/>
      <c r="D17" s="238"/>
      <c r="E17" s="238"/>
      <c r="F17" s="238"/>
      <c r="G17" s="238"/>
      <c r="H17" s="238"/>
      <c r="I17" s="238"/>
      <c r="J17" s="238"/>
      <c r="K17" s="238"/>
      <c r="L17" s="238"/>
      <c r="M17" s="238"/>
      <c r="N17" s="238"/>
      <c r="O17" s="241"/>
      <c r="P17" s="242">
        <f t="shared" si="0"/>
        <v>0</v>
      </c>
      <c r="Q17" s="269" t="e">
        <f t="shared" si="1"/>
        <v>#DIV/0!</v>
      </c>
      <c r="R17" s="240"/>
      <c r="S17" s="238"/>
      <c r="T17" s="238"/>
      <c r="U17" s="241"/>
      <c r="V17" s="444"/>
      <c r="W17" s="241"/>
      <c r="X17" s="444"/>
      <c r="Y17" s="238"/>
      <c r="Z17" s="238"/>
      <c r="AA17" s="238"/>
      <c r="AB17" s="238"/>
      <c r="AC17" s="238"/>
      <c r="AD17" s="238"/>
      <c r="AE17" s="241"/>
      <c r="AF17" s="363">
        <f t="shared" si="2"/>
        <v>0</v>
      </c>
      <c r="AG17" s="240"/>
      <c r="AH17" s="238"/>
      <c r="AI17" s="238"/>
      <c r="AJ17" s="238"/>
      <c r="AK17" s="239"/>
      <c r="AL17" s="240">
        <f t="shared" si="3"/>
        <v>0</v>
      </c>
      <c r="AM17" s="242"/>
      <c r="AN17" s="241"/>
      <c r="AO17" s="324"/>
      <c r="AP17" s="348"/>
      <c r="AQ17" s="240"/>
      <c r="AR17" s="238"/>
      <c r="AS17" s="241"/>
      <c r="AT17" s="755"/>
      <c r="AU17" s="756"/>
      <c r="AV17" s="243">
        <f t="shared" si="4"/>
        <v>0</v>
      </c>
      <c r="AW17" s="266"/>
      <c r="AY17" s="421"/>
      <c r="AZ17" s="4"/>
      <c r="BA17" s="421"/>
      <c r="BB17" s="421"/>
      <c r="BC17" s="123"/>
    </row>
    <row r="18" spans="1:58" s="4" customFormat="1" ht="21" customHeight="1">
      <c r="A18" s="259">
        <v>14</v>
      </c>
      <c r="B18" s="238"/>
      <c r="C18" s="238"/>
      <c r="D18" s="238"/>
      <c r="E18" s="238"/>
      <c r="F18" s="238"/>
      <c r="G18" s="238"/>
      <c r="H18" s="238"/>
      <c r="I18" s="238"/>
      <c r="J18" s="238"/>
      <c r="K18" s="238"/>
      <c r="L18" s="238"/>
      <c r="M18" s="238"/>
      <c r="N18" s="238"/>
      <c r="O18" s="241"/>
      <c r="P18" s="242">
        <f t="shared" si="0"/>
        <v>0</v>
      </c>
      <c r="Q18" s="269" t="e">
        <f t="shared" si="1"/>
        <v>#DIV/0!</v>
      </c>
      <c r="R18" s="240"/>
      <c r="S18" s="238"/>
      <c r="T18" s="238"/>
      <c r="U18" s="241"/>
      <c r="V18" s="444"/>
      <c r="W18" s="241"/>
      <c r="X18" s="444"/>
      <c r="Y18" s="238"/>
      <c r="Z18" s="238"/>
      <c r="AA18" s="238"/>
      <c r="AB18" s="238"/>
      <c r="AC18" s="238"/>
      <c r="AD18" s="238"/>
      <c r="AE18" s="241"/>
      <c r="AF18" s="363">
        <f t="shared" si="2"/>
        <v>0</v>
      </c>
      <c r="AG18" s="240"/>
      <c r="AH18" s="238"/>
      <c r="AI18" s="238"/>
      <c r="AJ18" s="238"/>
      <c r="AK18" s="239"/>
      <c r="AL18" s="240">
        <f t="shared" si="3"/>
        <v>0</v>
      </c>
      <c r="AM18" s="242"/>
      <c r="AN18" s="241"/>
      <c r="AO18" s="324"/>
      <c r="AP18" s="348"/>
      <c r="AQ18" s="240"/>
      <c r="AR18" s="238"/>
      <c r="AS18" s="241"/>
      <c r="AT18" s="755"/>
      <c r="AU18" s="756"/>
      <c r="AV18" s="243">
        <f t="shared" si="4"/>
        <v>0</v>
      </c>
      <c r="AW18" s="266"/>
      <c r="AY18" s="421"/>
      <c r="AZ18" s="424"/>
      <c r="BA18" s="423"/>
      <c r="BB18" s="423"/>
      <c r="BC18" s="123"/>
      <c r="BD18" s="123"/>
    </row>
    <row r="19" spans="1:58" s="5" customFormat="1" ht="21" customHeight="1">
      <c r="A19" s="335">
        <v>15</v>
      </c>
      <c r="B19" s="336"/>
      <c r="C19" s="336"/>
      <c r="D19" s="336"/>
      <c r="E19" s="391"/>
      <c r="F19" s="391"/>
      <c r="G19" s="391"/>
      <c r="H19" s="391"/>
      <c r="I19" s="391"/>
      <c r="J19" s="391"/>
      <c r="K19" s="391"/>
      <c r="L19" s="391"/>
      <c r="M19" s="391"/>
      <c r="N19" s="391"/>
      <c r="O19" s="392"/>
      <c r="P19" s="338">
        <f t="shared" si="0"/>
        <v>0</v>
      </c>
      <c r="Q19" s="339" t="e">
        <f t="shared" si="1"/>
        <v>#DIV/0!</v>
      </c>
      <c r="R19" s="393"/>
      <c r="S19" s="336"/>
      <c r="T19" s="336"/>
      <c r="U19" s="337"/>
      <c r="V19" s="448"/>
      <c r="W19" s="337"/>
      <c r="X19" s="448"/>
      <c r="Y19" s="336"/>
      <c r="Z19" s="336"/>
      <c r="AA19" s="336"/>
      <c r="AB19" s="336"/>
      <c r="AC19" s="336"/>
      <c r="AD19" s="336"/>
      <c r="AE19" s="337"/>
      <c r="AF19" s="364">
        <f t="shared" si="2"/>
        <v>0</v>
      </c>
      <c r="AG19" s="340"/>
      <c r="AH19" s="336"/>
      <c r="AI19" s="336"/>
      <c r="AJ19" s="336"/>
      <c r="AK19" s="341"/>
      <c r="AL19" s="340">
        <f t="shared" si="3"/>
        <v>0</v>
      </c>
      <c r="AM19" s="338"/>
      <c r="AN19" s="337"/>
      <c r="AO19" s="342"/>
      <c r="AP19" s="370"/>
      <c r="AQ19" s="340"/>
      <c r="AR19" s="336"/>
      <c r="AS19" s="337"/>
      <c r="AT19" s="763"/>
      <c r="AU19" s="764"/>
      <c r="AV19" s="343">
        <f t="shared" si="4"/>
        <v>0</v>
      </c>
      <c r="AW19" s="344"/>
      <c r="AY19" s="421"/>
      <c r="AZ19" s="424"/>
      <c r="BA19" s="421"/>
      <c r="BB19" s="421"/>
    </row>
    <row r="20" spans="1:58" s="4" customFormat="1" ht="21" customHeight="1" thickBot="1">
      <c r="A20" s="262">
        <v>16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10"/>
      <c r="P20" s="11">
        <f t="shared" si="0"/>
        <v>0</v>
      </c>
      <c r="Q20" s="270" t="e">
        <f t="shared" si="1"/>
        <v>#DIV/0!</v>
      </c>
      <c r="R20" s="9"/>
      <c r="S20" s="7"/>
      <c r="T20" s="7"/>
      <c r="U20" s="10"/>
      <c r="V20" s="446"/>
      <c r="W20" s="10"/>
      <c r="X20" s="446"/>
      <c r="Y20" s="7"/>
      <c r="Z20" s="7"/>
      <c r="AA20" s="7"/>
      <c r="AB20" s="7"/>
      <c r="AC20" s="7"/>
      <c r="AD20" s="7"/>
      <c r="AE20" s="10"/>
      <c r="AF20" s="365">
        <f t="shared" si="2"/>
        <v>0</v>
      </c>
      <c r="AG20" s="9"/>
      <c r="AH20" s="7"/>
      <c r="AI20" s="7"/>
      <c r="AJ20" s="7"/>
      <c r="AK20" s="8"/>
      <c r="AL20" s="9">
        <f t="shared" si="3"/>
        <v>0</v>
      </c>
      <c r="AM20" s="11"/>
      <c r="AN20" s="10"/>
      <c r="AO20" s="325"/>
      <c r="AP20" s="349"/>
      <c r="AQ20" s="9"/>
      <c r="AR20" s="7"/>
      <c r="AS20" s="10"/>
      <c r="AT20" s="759"/>
      <c r="AU20" s="760"/>
      <c r="AV20" s="12">
        <f t="shared" si="4"/>
        <v>0</v>
      </c>
      <c r="AW20" s="267"/>
      <c r="AZ20" s="123"/>
      <c r="BA20" s="423"/>
      <c r="BB20" s="423"/>
    </row>
    <row r="21" spans="1:58" s="4" customFormat="1" ht="21" customHeight="1">
      <c r="A21" s="261">
        <v>17</v>
      </c>
      <c r="B21" s="245"/>
      <c r="C21" s="245"/>
      <c r="D21" s="245"/>
      <c r="E21" s="245"/>
      <c r="F21" s="245"/>
      <c r="G21" s="245"/>
      <c r="H21" s="245"/>
      <c r="I21" s="245"/>
      <c r="J21" s="245"/>
      <c r="K21" s="245"/>
      <c r="L21" s="245"/>
      <c r="M21" s="245"/>
      <c r="N21" s="245"/>
      <c r="O21" s="246"/>
      <c r="P21" s="248">
        <f t="shared" si="0"/>
        <v>0</v>
      </c>
      <c r="Q21" s="271" t="e">
        <f t="shared" si="1"/>
        <v>#DIV/0!</v>
      </c>
      <c r="R21" s="244"/>
      <c r="S21" s="245"/>
      <c r="T21" s="245"/>
      <c r="U21" s="246"/>
      <c r="V21" s="447"/>
      <c r="W21" s="246"/>
      <c r="X21" s="447"/>
      <c r="Y21" s="245"/>
      <c r="Z21" s="245"/>
      <c r="AA21" s="245"/>
      <c r="AB21" s="245"/>
      <c r="AC21" s="245"/>
      <c r="AD21" s="245"/>
      <c r="AE21" s="246"/>
      <c r="AF21" s="366">
        <f t="shared" si="2"/>
        <v>0</v>
      </c>
      <c r="AG21" s="244"/>
      <c r="AH21" s="245"/>
      <c r="AI21" s="245"/>
      <c r="AJ21" s="245"/>
      <c r="AK21" s="394"/>
      <c r="AL21" s="244">
        <f t="shared" si="3"/>
        <v>0</v>
      </c>
      <c r="AM21" s="248"/>
      <c r="AN21" s="246"/>
      <c r="AO21" s="326"/>
      <c r="AP21" s="350"/>
      <c r="AQ21" s="244"/>
      <c r="AR21" s="245"/>
      <c r="AS21" s="246"/>
      <c r="AT21" s="761"/>
      <c r="AU21" s="762"/>
      <c r="AV21" s="249">
        <f t="shared" si="4"/>
        <v>0</v>
      </c>
      <c r="AW21" s="268"/>
      <c r="AY21" s="422"/>
      <c r="AZ21" s="421"/>
      <c r="BA21" s="423"/>
      <c r="BB21" s="423"/>
      <c r="BC21" s="123"/>
      <c r="BD21" s="123"/>
    </row>
    <row r="22" spans="1:58" s="6" customFormat="1" ht="21" customHeight="1">
      <c r="A22" s="259">
        <v>18</v>
      </c>
      <c r="B22" s="238"/>
      <c r="C22" s="238"/>
      <c r="D22" s="238"/>
      <c r="E22" s="260"/>
      <c r="F22" s="238"/>
      <c r="G22" s="238"/>
      <c r="H22" s="238"/>
      <c r="I22" s="238"/>
      <c r="J22" s="238"/>
      <c r="K22" s="238"/>
      <c r="L22" s="238"/>
      <c r="M22" s="238"/>
      <c r="N22" s="238"/>
      <c r="O22" s="241"/>
      <c r="P22" s="242">
        <f t="shared" si="0"/>
        <v>0</v>
      </c>
      <c r="Q22" s="269" t="e">
        <f t="shared" si="1"/>
        <v>#DIV/0!</v>
      </c>
      <c r="R22" s="240"/>
      <c r="S22" s="238"/>
      <c r="T22" s="238"/>
      <c r="U22" s="241"/>
      <c r="V22" s="444"/>
      <c r="W22" s="241"/>
      <c r="X22" s="444"/>
      <c r="Y22" s="238"/>
      <c r="Z22" s="238"/>
      <c r="AA22" s="238"/>
      <c r="AB22" s="238"/>
      <c r="AC22" s="238"/>
      <c r="AD22" s="238"/>
      <c r="AE22" s="241"/>
      <c r="AF22" s="363">
        <f t="shared" si="2"/>
        <v>0</v>
      </c>
      <c r="AG22" s="240"/>
      <c r="AH22" s="238"/>
      <c r="AI22" s="238"/>
      <c r="AJ22" s="238"/>
      <c r="AK22" s="239"/>
      <c r="AL22" s="240">
        <f t="shared" si="3"/>
        <v>0</v>
      </c>
      <c r="AM22" s="242"/>
      <c r="AN22" s="241"/>
      <c r="AO22" s="324"/>
      <c r="AP22" s="348"/>
      <c r="AQ22" s="240"/>
      <c r="AR22" s="238"/>
      <c r="AS22" s="241"/>
      <c r="AT22" s="755"/>
      <c r="AU22" s="756"/>
      <c r="AV22" s="243">
        <f t="shared" si="4"/>
        <v>0</v>
      </c>
      <c r="AW22" s="266"/>
      <c r="AX22" s="4"/>
      <c r="AY22" s="13"/>
      <c r="AZ22" s="425"/>
      <c r="BA22" s="425"/>
      <c r="BB22" s="425"/>
      <c r="BC22" s="123"/>
      <c r="BD22" s="123"/>
      <c r="BE22" s="4"/>
    </row>
    <row r="23" spans="1:58" s="123" customFormat="1" ht="21" customHeight="1">
      <c r="A23" s="259">
        <v>19</v>
      </c>
      <c r="B23" s="238"/>
      <c r="C23" s="238"/>
      <c r="D23" s="238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41"/>
      <c r="P23" s="242">
        <f t="shared" si="0"/>
        <v>0</v>
      </c>
      <c r="Q23" s="269" t="e">
        <f t="shared" si="1"/>
        <v>#DIV/0!</v>
      </c>
      <c r="R23" s="240"/>
      <c r="S23" s="238"/>
      <c r="T23" s="238"/>
      <c r="U23" s="241"/>
      <c r="V23" s="444"/>
      <c r="W23" s="241"/>
      <c r="X23" s="444"/>
      <c r="Y23" s="238"/>
      <c r="Z23" s="238"/>
      <c r="AA23" s="238"/>
      <c r="AB23" s="238"/>
      <c r="AC23" s="238"/>
      <c r="AD23" s="238"/>
      <c r="AE23" s="241"/>
      <c r="AF23" s="363">
        <f t="shared" si="2"/>
        <v>0</v>
      </c>
      <c r="AG23" s="240"/>
      <c r="AH23" s="238"/>
      <c r="AI23" s="238"/>
      <c r="AJ23" s="238"/>
      <c r="AK23" s="239"/>
      <c r="AL23" s="240">
        <f t="shared" si="3"/>
        <v>0</v>
      </c>
      <c r="AM23" s="242"/>
      <c r="AN23" s="241"/>
      <c r="AO23" s="324"/>
      <c r="AP23" s="348"/>
      <c r="AQ23" s="240"/>
      <c r="AR23" s="238"/>
      <c r="AS23" s="241"/>
      <c r="AT23" s="755"/>
      <c r="AU23" s="756"/>
      <c r="AV23" s="243">
        <f t="shared" si="4"/>
        <v>0</v>
      </c>
      <c r="AW23" s="266"/>
      <c r="AY23" s="13"/>
      <c r="AZ23" s="421"/>
      <c r="BA23" s="424"/>
      <c r="BB23" s="424"/>
      <c r="BE23" s="4"/>
    </row>
    <row r="24" spans="1:58" s="5" customFormat="1" ht="21" customHeight="1">
      <c r="A24" s="259">
        <v>20</v>
      </c>
      <c r="B24" s="238"/>
      <c r="C24" s="238"/>
      <c r="D24" s="238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41"/>
      <c r="P24" s="242">
        <f t="shared" si="0"/>
        <v>0</v>
      </c>
      <c r="Q24" s="269" t="e">
        <f t="shared" si="1"/>
        <v>#DIV/0!</v>
      </c>
      <c r="R24" s="240"/>
      <c r="S24" s="238"/>
      <c r="T24" s="238"/>
      <c r="U24" s="241"/>
      <c r="V24" s="444"/>
      <c r="W24" s="241"/>
      <c r="X24" s="444"/>
      <c r="Y24" s="238"/>
      <c r="Z24" s="238"/>
      <c r="AA24" s="238"/>
      <c r="AB24" s="238"/>
      <c r="AC24" s="238"/>
      <c r="AD24" s="238"/>
      <c r="AE24" s="241"/>
      <c r="AF24" s="363">
        <f t="shared" si="2"/>
        <v>0</v>
      </c>
      <c r="AG24" s="240"/>
      <c r="AH24" s="238"/>
      <c r="AI24" s="238"/>
      <c r="AJ24" s="238"/>
      <c r="AK24" s="239"/>
      <c r="AL24" s="240">
        <f t="shared" si="3"/>
        <v>0</v>
      </c>
      <c r="AM24" s="242"/>
      <c r="AN24" s="241"/>
      <c r="AO24" s="324"/>
      <c r="AP24" s="348"/>
      <c r="AQ24" s="240"/>
      <c r="AR24" s="238"/>
      <c r="AS24" s="241"/>
      <c r="AT24" s="755"/>
      <c r="AU24" s="756"/>
      <c r="AV24" s="243">
        <f t="shared" si="4"/>
        <v>0</v>
      </c>
      <c r="AW24" s="266"/>
      <c r="AY24" s="422"/>
      <c r="AZ24" s="420"/>
      <c r="BA24" s="426"/>
      <c r="BB24" s="421"/>
      <c r="BD24" s="123"/>
    </row>
    <row r="25" spans="1:58" s="4" customFormat="1" ht="21" customHeight="1">
      <c r="A25" s="259">
        <v>21</v>
      </c>
      <c r="B25" s="238"/>
      <c r="C25" s="238"/>
      <c r="D25" s="238"/>
      <c r="E25" s="238"/>
      <c r="F25" s="238"/>
      <c r="G25" s="238"/>
      <c r="H25" s="238"/>
      <c r="I25" s="238"/>
      <c r="J25" s="238"/>
      <c r="K25" s="238"/>
      <c r="L25" s="238"/>
      <c r="M25" s="238"/>
      <c r="N25" s="238"/>
      <c r="O25" s="241"/>
      <c r="P25" s="242">
        <f t="shared" si="0"/>
        <v>0</v>
      </c>
      <c r="Q25" s="269" t="e">
        <f t="shared" si="1"/>
        <v>#DIV/0!</v>
      </c>
      <c r="R25" s="240"/>
      <c r="S25" s="238"/>
      <c r="T25" s="238"/>
      <c r="U25" s="241"/>
      <c r="V25" s="444"/>
      <c r="W25" s="241"/>
      <c r="X25" s="444"/>
      <c r="Y25" s="238"/>
      <c r="Z25" s="238"/>
      <c r="AA25" s="238"/>
      <c r="AB25" s="238"/>
      <c r="AC25" s="238"/>
      <c r="AD25" s="238"/>
      <c r="AE25" s="241"/>
      <c r="AF25" s="363">
        <f t="shared" si="2"/>
        <v>0</v>
      </c>
      <c r="AG25" s="240"/>
      <c r="AH25" s="238"/>
      <c r="AI25" s="238"/>
      <c r="AJ25" s="238"/>
      <c r="AK25" s="239"/>
      <c r="AL25" s="240">
        <f t="shared" si="3"/>
        <v>0</v>
      </c>
      <c r="AM25" s="242"/>
      <c r="AN25" s="241"/>
      <c r="AO25" s="324"/>
      <c r="AP25" s="348"/>
      <c r="AQ25" s="240"/>
      <c r="AR25" s="238"/>
      <c r="AS25" s="241"/>
      <c r="AT25" s="755"/>
      <c r="AU25" s="756"/>
      <c r="AV25" s="243">
        <f t="shared" si="4"/>
        <v>0</v>
      </c>
      <c r="AW25" s="266"/>
      <c r="AY25" s="13"/>
      <c r="AZ25" s="13"/>
      <c r="BA25" s="427"/>
      <c r="BB25" s="423"/>
      <c r="BD25" s="123"/>
    </row>
    <row r="26" spans="1:58" s="5" customFormat="1" ht="21" customHeight="1">
      <c r="A26" s="335">
        <v>22</v>
      </c>
      <c r="B26" s="336"/>
      <c r="C26" s="336"/>
      <c r="D26" s="336"/>
      <c r="E26" s="336"/>
      <c r="F26" s="336"/>
      <c r="G26" s="336"/>
      <c r="H26" s="336"/>
      <c r="I26" s="336"/>
      <c r="J26" s="336"/>
      <c r="K26" s="336"/>
      <c r="L26" s="336"/>
      <c r="M26" s="336"/>
      <c r="N26" s="336"/>
      <c r="O26" s="337"/>
      <c r="P26" s="338">
        <f t="shared" si="0"/>
        <v>0</v>
      </c>
      <c r="Q26" s="339" t="e">
        <f t="shared" si="1"/>
        <v>#DIV/0!</v>
      </c>
      <c r="R26" s="340"/>
      <c r="S26" s="336"/>
      <c r="T26" s="336"/>
      <c r="U26" s="337"/>
      <c r="V26" s="448"/>
      <c r="W26" s="337"/>
      <c r="X26" s="448"/>
      <c r="Y26" s="336"/>
      <c r="Z26" s="336"/>
      <c r="AA26" s="336"/>
      <c r="AB26" s="336"/>
      <c r="AC26" s="336"/>
      <c r="AD26" s="336"/>
      <c r="AE26" s="337"/>
      <c r="AF26" s="364">
        <f t="shared" si="2"/>
        <v>0</v>
      </c>
      <c r="AG26" s="340"/>
      <c r="AH26" s="336"/>
      <c r="AI26" s="336"/>
      <c r="AJ26" s="336"/>
      <c r="AK26" s="341"/>
      <c r="AL26" s="340">
        <f t="shared" si="3"/>
        <v>0</v>
      </c>
      <c r="AM26" s="338"/>
      <c r="AN26" s="337"/>
      <c r="AO26" s="342"/>
      <c r="AP26" s="370"/>
      <c r="AQ26" s="340"/>
      <c r="AR26" s="336"/>
      <c r="AS26" s="337"/>
      <c r="AT26" s="763"/>
      <c r="AU26" s="764"/>
      <c r="AV26" s="343">
        <f t="shared" si="4"/>
        <v>0</v>
      </c>
      <c r="AW26" s="344"/>
      <c r="AY26" s="13"/>
      <c r="AZ26" s="421"/>
      <c r="BA26" s="428"/>
      <c r="BB26" s="429"/>
      <c r="BC26" s="430"/>
      <c r="BE26" s="430"/>
    </row>
    <row r="27" spans="1:58" s="4" customFormat="1" ht="21" customHeight="1" thickBot="1">
      <c r="A27" s="262">
        <v>23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10"/>
      <c r="P27" s="11">
        <f t="shared" si="0"/>
        <v>0</v>
      </c>
      <c r="Q27" s="270" t="e">
        <f t="shared" si="1"/>
        <v>#DIV/0!</v>
      </c>
      <c r="R27" s="9"/>
      <c r="S27" s="7"/>
      <c r="T27" s="7"/>
      <c r="U27" s="10"/>
      <c r="V27" s="446"/>
      <c r="W27" s="10"/>
      <c r="X27" s="446"/>
      <c r="Y27" s="7"/>
      <c r="Z27" s="7"/>
      <c r="AA27" s="7"/>
      <c r="AB27" s="7"/>
      <c r="AC27" s="7"/>
      <c r="AD27" s="7"/>
      <c r="AE27" s="10"/>
      <c r="AF27" s="365">
        <f t="shared" si="2"/>
        <v>0</v>
      </c>
      <c r="AG27" s="9"/>
      <c r="AH27" s="7"/>
      <c r="AI27" s="7"/>
      <c r="AJ27" s="7"/>
      <c r="AK27" s="8"/>
      <c r="AL27" s="9">
        <f t="shared" si="3"/>
        <v>0</v>
      </c>
      <c r="AM27" s="11"/>
      <c r="AN27" s="10"/>
      <c r="AO27" s="325"/>
      <c r="AP27" s="349"/>
      <c r="AQ27" s="9"/>
      <c r="AR27" s="7"/>
      <c r="AS27" s="10"/>
      <c r="AT27" s="759"/>
      <c r="AU27" s="760"/>
      <c r="AV27" s="12">
        <f t="shared" si="4"/>
        <v>0</v>
      </c>
      <c r="AW27" s="267"/>
      <c r="AY27" s="422"/>
      <c r="AZ27" s="422"/>
      <c r="BA27" s="427"/>
      <c r="BB27" s="431"/>
      <c r="BC27" s="432"/>
      <c r="BE27" s="432"/>
      <c r="BF27" s="433"/>
    </row>
    <row r="28" spans="1:58" s="4" customFormat="1" ht="21" customHeight="1">
      <c r="A28" s="261">
        <v>24</v>
      </c>
      <c r="B28" s="245"/>
      <c r="C28" s="245"/>
      <c r="D28" s="245"/>
      <c r="E28" s="245"/>
      <c r="F28" s="245"/>
      <c r="G28" s="245"/>
      <c r="H28" s="245"/>
      <c r="I28" s="245"/>
      <c r="J28" s="245"/>
      <c r="K28" s="245"/>
      <c r="L28" s="245"/>
      <c r="M28" s="245"/>
      <c r="N28" s="245"/>
      <c r="O28" s="246"/>
      <c r="P28" s="248">
        <f t="shared" si="0"/>
        <v>0</v>
      </c>
      <c r="Q28" s="269" t="e">
        <f t="shared" si="1"/>
        <v>#DIV/0!</v>
      </c>
      <c r="R28" s="244"/>
      <c r="S28" s="245"/>
      <c r="T28" s="245"/>
      <c r="U28" s="246"/>
      <c r="V28" s="447"/>
      <c r="W28" s="246"/>
      <c r="X28" s="447"/>
      <c r="Y28" s="245"/>
      <c r="Z28" s="245"/>
      <c r="AA28" s="245"/>
      <c r="AB28" s="245"/>
      <c r="AC28" s="245"/>
      <c r="AD28" s="245"/>
      <c r="AE28" s="246"/>
      <c r="AF28" s="366">
        <f t="shared" si="2"/>
        <v>0</v>
      </c>
      <c r="AG28" s="244"/>
      <c r="AH28" s="245"/>
      <c r="AI28" s="245"/>
      <c r="AJ28" s="245"/>
      <c r="AK28" s="247"/>
      <c r="AL28" s="244">
        <f t="shared" si="3"/>
        <v>0</v>
      </c>
      <c r="AM28" s="248"/>
      <c r="AN28" s="246"/>
      <c r="AO28" s="326"/>
      <c r="AP28" s="350"/>
      <c r="AQ28" s="244"/>
      <c r="AR28" s="245"/>
      <c r="AS28" s="246"/>
      <c r="AT28" s="761"/>
      <c r="AU28" s="762"/>
      <c r="AV28" s="249">
        <f t="shared" si="4"/>
        <v>0</v>
      </c>
      <c r="AW28" s="268"/>
      <c r="AY28" s="420"/>
      <c r="AZ28" s="420"/>
      <c r="BA28" s="434"/>
      <c r="BB28" s="431"/>
      <c r="BC28" s="432"/>
      <c r="BD28" s="123"/>
      <c r="BE28" s="432"/>
      <c r="BF28" s="433"/>
    </row>
    <row r="29" spans="1:58" s="6" customFormat="1" ht="21" customHeight="1">
      <c r="A29" s="259">
        <v>25</v>
      </c>
      <c r="B29" s="238"/>
      <c r="C29" s="238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41"/>
      <c r="P29" s="242">
        <f t="shared" si="0"/>
        <v>0</v>
      </c>
      <c r="Q29" s="269" t="e">
        <f t="shared" si="1"/>
        <v>#DIV/0!</v>
      </c>
      <c r="R29" s="240"/>
      <c r="S29" s="238"/>
      <c r="T29" s="238"/>
      <c r="U29" s="241"/>
      <c r="V29" s="444"/>
      <c r="W29" s="241"/>
      <c r="X29" s="444"/>
      <c r="Y29" s="238"/>
      <c r="Z29" s="238"/>
      <c r="AA29" s="238"/>
      <c r="AB29" s="238"/>
      <c r="AC29" s="238"/>
      <c r="AD29" s="238"/>
      <c r="AE29" s="241"/>
      <c r="AF29" s="363">
        <f t="shared" si="2"/>
        <v>0</v>
      </c>
      <c r="AG29" s="240"/>
      <c r="AH29" s="238"/>
      <c r="AI29" s="238"/>
      <c r="AJ29" s="238"/>
      <c r="AK29" s="239"/>
      <c r="AL29" s="240">
        <f t="shared" si="3"/>
        <v>0</v>
      </c>
      <c r="AM29" s="242"/>
      <c r="AN29" s="241"/>
      <c r="AO29" s="324"/>
      <c r="AP29" s="348"/>
      <c r="AQ29" s="240"/>
      <c r="AR29" s="238"/>
      <c r="AS29" s="241"/>
      <c r="AT29" s="755"/>
      <c r="AU29" s="756"/>
      <c r="AV29" s="243">
        <f t="shared" si="4"/>
        <v>0</v>
      </c>
      <c r="AW29" s="266"/>
      <c r="AY29" s="13"/>
      <c r="AZ29" s="426"/>
      <c r="BA29" s="435"/>
      <c r="BB29" s="436"/>
      <c r="BC29" s="437"/>
      <c r="BD29" s="123"/>
      <c r="BE29" s="437"/>
      <c r="BF29" s="438"/>
    </row>
    <row r="30" spans="1:58" s="123" customFormat="1" ht="21" customHeight="1">
      <c r="A30" s="259">
        <v>26</v>
      </c>
      <c r="B30" s="238"/>
      <c r="C30" s="238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41"/>
      <c r="P30" s="242">
        <f t="shared" ref="P30:P35" si="5">SUM(B30:O30)</f>
        <v>0</v>
      </c>
      <c r="Q30" s="269" t="e">
        <f t="shared" si="1"/>
        <v>#DIV/0!</v>
      </c>
      <c r="R30" s="240"/>
      <c r="S30" s="238"/>
      <c r="T30" s="238"/>
      <c r="U30" s="241"/>
      <c r="V30" s="444"/>
      <c r="W30" s="241"/>
      <c r="X30" s="444"/>
      <c r="Y30" s="238"/>
      <c r="Z30" s="238"/>
      <c r="AA30" s="238"/>
      <c r="AB30" s="238"/>
      <c r="AC30" s="238"/>
      <c r="AD30" s="238"/>
      <c r="AE30" s="241"/>
      <c r="AF30" s="363">
        <f t="shared" si="2"/>
        <v>0</v>
      </c>
      <c r="AG30" s="240"/>
      <c r="AH30" s="238"/>
      <c r="AI30" s="238"/>
      <c r="AJ30" s="238"/>
      <c r="AK30" s="239"/>
      <c r="AL30" s="240">
        <f t="shared" si="3"/>
        <v>0</v>
      </c>
      <c r="AM30" s="242"/>
      <c r="AN30" s="241"/>
      <c r="AO30" s="324"/>
      <c r="AP30" s="348"/>
      <c r="AQ30" s="240"/>
      <c r="AR30" s="238"/>
      <c r="AS30" s="241"/>
      <c r="AT30" s="755"/>
      <c r="AU30" s="756"/>
      <c r="AV30" s="243">
        <f t="shared" si="4"/>
        <v>0</v>
      </c>
      <c r="AW30" s="272"/>
      <c r="AY30" s="420"/>
      <c r="AZ30" s="421"/>
      <c r="BA30" s="424"/>
      <c r="BB30" s="424"/>
    </row>
    <row r="31" spans="1:58" s="5" customFormat="1" ht="21" customHeight="1">
      <c r="A31" s="259">
        <v>27</v>
      </c>
      <c r="B31" s="238"/>
      <c r="C31" s="238"/>
      <c r="D31" s="238"/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41"/>
      <c r="P31" s="242">
        <f t="shared" si="5"/>
        <v>0</v>
      </c>
      <c r="Q31" s="269" t="e">
        <f t="shared" si="1"/>
        <v>#DIV/0!</v>
      </c>
      <c r="R31" s="240"/>
      <c r="S31" s="238"/>
      <c r="T31" s="238"/>
      <c r="U31" s="241"/>
      <c r="V31" s="444"/>
      <c r="W31" s="241"/>
      <c r="X31" s="444"/>
      <c r="Y31" s="238"/>
      <c r="Z31" s="238"/>
      <c r="AA31" s="238"/>
      <c r="AB31" s="238"/>
      <c r="AC31" s="238"/>
      <c r="AD31" s="238"/>
      <c r="AE31" s="241"/>
      <c r="AF31" s="363">
        <f t="shared" si="2"/>
        <v>0</v>
      </c>
      <c r="AG31" s="240"/>
      <c r="AH31" s="238"/>
      <c r="AI31" s="238"/>
      <c r="AJ31" s="238"/>
      <c r="AK31" s="239"/>
      <c r="AL31" s="240">
        <f t="shared" si="3"/>
        <v>0</v>
      </c>
      <c r="AM31" s="242"/>
      <c r="AN31" s="241"/>
      <c r="AO31" s="324"/>
      <c r="AP31" s="348"/>
      <c r="AQ31" s="240"/>
      <c r="AR31" s="238"/>
      <c r="AS31" s="241"/>
      <c r="AT31" s="755"/>
      <c r="AU31" s="756"/>
      <c r="AV31" s="243">
        <f t="shared" si="4"/>
        <v>0</v>
      </c>
      <c r="AW31" s="373"/>
      <c r="AY31" s="422"/>
      <c r="BA31" s="426"/>
      <c r="BB31" s="426"/>
      <c r="BC31" s="345"/>
      <c r="BD31" s="123"/>
      <c r="BE31" s="345"/>
      <c r="BF31" s="345"/>
    </row>
    <row r="32" spans="1:58" s="4" customFormat="1" ht="21" customHeight="1">
      <c r="A32" s="259">
        <v>28</v>
      </c>
      <c r="B32" s="238"/>
      <c r="C32" s="238"/>
      <c r="D32" s="238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41"/>
      <c r="P32" s="242">
        <f t="shared" si="5"/>
        <v>0</v>
      </c>
      <c r="Q32" s="269" t="e">
        <f t="shared" si="1"/>
        <v>#DIV/0!</v>
      </c>
      <c r="R32" s="240"/>
      <c r="S32" s="238"/>
      <c r="T32" s="238"/>
      <c r="U32" s="241"/>
      <c r="V32" s="444"/>
      <c r="W32" s="241"/>
      <c r="X32" s="444"/>
      <c r="Y32" s="238"/>
      <c r="Z32" s="238"/>
      <c r="AA32" s="238"/>
      <c r="AB32" s="238"/>
      <c r="AC32" s="238"/>
      <c r="AD32" s="238"/>
      <c r="AE32" s="241"/>
      <c r="AF32" s="363">
        <f t="shared" si="2"/>
        <v>0</v>
      </c>
      <c r="AG32" s="240"/>
      <c r="AH32" s="238"/>
      <c r="AI32" s="238"/>
      <c r="AJ32" s="238"/>
      <c r="AK32" s="239"/>
      <c r="AL32" s="240">
        <f t="shared" si="3"/>
        <v>0</v>
      </c>
      <c r="AM32" s="242"/>
      <c r="AN32" s="241"/>
      <c r="AO32" s="324"/>
      <c r="AP32" s="348"/>
      <c r="AQ32" s="240"/>
      <c r="AR32" s="238"/>
      <c r="AS32" s="241"/>
      <c r="AT32" s="755"/>
      <c r="AU32" s="756"/>
      <c r="AV32" s="243">
        <f t="shared" si="4"/>
        <v>0</v>
      </c>
      <c r="AW32" s="374"/>
      <c r="AY32" s="420"/>
      <c r="AZ32" s="422"/>
      <c r="BA32" s="423"/>
      <c r="BB32" s="423"/>
      <c r="BD32" s="123"/>
    </row>
    <row r="33" spans="1:58" s="5" customFormat="1" ht="21" customHeight="1">
      <c r="A33" s="335">
        <v>29</v>
      </c>
      <c r="B33" s="336"/>
      <c r="C33" s="336"/>
      <c r="D33" s="336"/>
      <c r="E33" s="391"/>
      <c r="F33" s="391"/>
      <c r="G33" s="391"/>
      <c r="H33" s="391"/>
      <c r="I33" s="391"/>
      <c r="J33" s="391"/>
      <c r="K33" s="391"/>
      <c r="L33" s="391"/>
      <c r="M33" s="391"/>
      <c r="N33" s="391"/>
      <c r="O33" s="392"/>
      <c r="P33" s="338">
        <f t="shared" si="5"/>
        <v>0</v>
      </c>
      <c r="Q33" s="339" t="e">
        <f t="shared" si="1"/>
        <v>#DIV/0!</v>
      </c>
      <c r="R33" s="393"/>
      <c r="S33" s="336"/>
      <c r="T33" s="336"/>
      <c r="U33" s="337"/>
      <c r="V33" s="448"/>
      <c r="W33" s="337"/>
      <c r="X33" s="448"/>
      <c r="Y33" s="336"/>
      <c r="Z33" s="336"/>
      <c r="AA33" s="336"/>
      <c r="AB33" s="336"/>
      <c r="AC33" s="336"/>
      <c r="AD33" s="336"/>
      <c r="AE33" s="337"/>
      <c r="AF33" s="364">
        <f t="shared" si="2"/>
        <v>0</v>
      </c>
      <c r="AG33" s="340"/>
      <c r="AH33" s="336"/>
      <c r="AI33" s="336"/>
      <c r="AJ33" s="336"/>
      <c r="AK33" s="341"/>
      <c r="AL33" s="340">
        <f t="shared" si="3"/>
        <v>0</v>
      </c>
      <c r="AM33" s="338"/>
      <c r="AN33" s="337"/>
      <c r="AO33" s="342"/>
      <c r="AP33" s="370"/>
      <c r="AQ33" s="340"/>
      <c r="AR33" s="336"/>
      <c r="AS33" s="337"/>
      <c r="AT33" s="763"/>
      <c r="AU33" s="764"/>
      <c r="AV33" s="343">
        <f t="shared" si="4"/>
        <v>0</v>
      </c>
      <c r="AW33" s="344"/>
      <c r="AY33" s="420"/>
      <c r="AZ33" s="420"/>
      <c r="BA33" s="421"/>
      <c r="BB33" s="421"/>
    </row>
    <row r="34" spans="1:58" s="4" customFormat="1" ht="21" customHeight="1" thickBot="1">
      <c r="A34" s="262">
        <v>30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10"/>
      <c r="P34" s="11">
        <f t="shared" si="5"/>
        <v>0</v>
      </c>
      <c r="Q34" s="270" t="e">
        <f t="shared" si="1"/>
        <v>#DIV/0!</v>
      </c>
      <c r="R34" s="9"/>
      <c r="S34" s="7"/>
      <c r="T34" s="7"/>
      <c r="U34" s="10"/>
      <c r="V34" s="446"/>
      <c r="W34" s="10"/>
      <c r="X34" s="446"/>
      <c r="Y34" s="7"/>
      <c r="Z34" s="7"/>
      <c r="AA34" s="7"/>
      <c r="AB34" s="7"/>
      <c r="AC34" s="7"/>
      <c r="AD34" s="7"/>
      <c r="AE34" s="10"/>
      <c r="AF34" s="365">
        <f t="shared" si="2"/>
        <v>0</v>
      </c>
      <c r="AG34" s="9"/>
      <c r="AH34" s="7"/>
      <c r="AI34" s="7"/>
      <c r="AJ34" s="7"/>
      <c r="AK34" s="8"/>
      <c r="AL34" s="9">
        <f t="shared" si="3"/>
        <v>0</v>
      </c>
      <c r="AM34" s="11"/>
      <c r="AN34" s="10"/>
      <c r="AO34" s="325"/>
      <c r="AP34" s="349"/>
      <c r="AQ34" s="9"/>
      <c r="AR34" s="7"/>
      <c r="AS34" s="10"/>
      <c r="AT34" s="759"/>
      <c r="AU34" s="760"/>
      <c r="AV34" s="12">
        <f t="shared" si="4"/>
        <v>0</v>
      </c>
      <c r="AW34" s="267"/>
      <c r="AX34" s="4" t="s">
        <v>197</v>
      </c>
      <c r="AY34" s="422"/>
      <c r="AZ34" s="422"/>
      <c r="BA34" s="423"/>
      <c r="BB34" s="423"/>
    </row>
    <row r="35" spans="1:58" s="4" customFormat="1" ht="21" customHeight="1" thickBot="1">
      <c r="A35" s="395">
        <v>31</v>
      </c>
      <c r="B35" s="396"/>
      <c r="C35" s="396"/>
      <c r="D35" s="396"/>
      <c r="E35" s="396"/>
      <c r="F35" s="396"/>
      <c r="G35" s="396"/>
      <c r="H35" s="396"/>
      <c r="I35" s="396"/>
      <c r="J35" s="396"/>
      <c r="K35" s="396"/>
      <c r="L35" s="396"/>
      <c r="M35" s="396"/>
      <c r="N35" s="396"/>
      <c r="O35" s="397"/>
      <c r="P35" s="398">
        <f t="shared" si="5"/>
        <v>0</v>
      </c>
      <c r="Q35" s="399" t="e">
        <f t="shared" si="1"/>
        <v>#DIV/0!</v>
      </c>
      <c r="R35" s="400"/>
      <c r="S35" s="396"/>
      <c r="T35" s="396"/>
      <c r="U35" s="397"/>
      <c r="V35" s="449"/>
      <c r="W35" s="397"/>
      <c r="X35" s="449"/>
      <c r="Y35" s="396"/>
      <c r="Z35" s="396"/>
      <c r="AA35" s="396"/>
      <c r="AB35" s="396"/>
      <c r="AC35" s="396"/>
      <c r="AD35" s="396"/>
      <c r="AE35" s="397"/>
      <c r="AF35" s="401">
        <f t="shared" si="2"/>
        <v>0</v>
      </c>
      <c r="AG35" s="400"/>
      <c r="AH35" s="396"/>
      <c r="AI35" s="396"/>
      <c r="AJ35" s="396"/>
      <c r="AK35" s="402"/>
      <c r="AL35" s="400">
        <f t="shared" si="3"/>
        <v>0</v>
      </c>
      <c r="AM35" s="398"/>
      <c r="AN35" s="397"/>
      <c r="AO35" s="403"/>
      <c r="AP35" s="404"/>
      <c r="AQ35" s="400"/>
      <c r="AR35" s="396"/>
      <c r="AS35" s="397"/>
      <c r="AT35" s="768"/>
      <c r="AU35" s="769"/>
      <c r="AV35" s="405">
        <f t="shared" si="4"/>
        <v>0</v>
      </c>
      <c r="AW35" s="406"/>
      <c r="AY35" s="422"/>
      <c r="AZ35" s="422"/>
      <c r="BA35" s="423"/>
      <c r="BB35" s="423"/>
      <c r="BD35" s="123"/>
    </row>
    <row r="36" spans="1:58" ht="21" customHeight="1" thickBot="1">
      <c r="A36" s="15" t="s">
        <v>1</v>
      </c>
      <c r="B36" s="61">
        <f t="shared" ref="B36:O36" si="6">SUM(B5:B35)</f>
        <v>0</v>
      </c>
      <c r="C36" s="60">
        <f t="shared" si="6"/>
        <v>0</v>
      </c>
      <c r="D36" s="61">
        <f t="shared" si="6"/>
        <v>0</v>
      </c>
      <c r="E36" s="61">
        <f t="shared" si="6"/>
        <v>0</v>
      </c>
      <c r="F36" s="61">
        <f t="shared" si="6"/>
        <v>0</v>
      </c>
      <c r="G36" s="61">
        <f t="shared" si="6"/>
        <v>0</v>
      </c>
      <c r="H36" s="61">
        <f t="shared" si="6"/>
        <v>0</v>
      </c>
      <c r="I36" s="61">
        <f t="shared" si="6"/>
        <v>0</v>
      </c>
      <c r="J36" s="61">
        <f t="shared" si="6"/>
        <v>0</v>
      </c>
      <c r="K36" s="61">
        <f t="shared" si="6"/>
        <v>0</v>
      </c>
      <c r="L36" s="61">
        <f t="shared" si="6"/>
        <v>0</v>
      </c>
      <c r="M36" s="61">
        <f t="shared" si="6"/>
        <v>0</v>
      </c>
      <c r="N36" s="61">
        <f t="shared" si="6"/>
        <v>0</v>
      </c>
      <c r="O36" s="263">
        <f t="shared" si="6"/>
        <v>0</v>
      </c>
      <c r="P36" s="257">
        <f>SUM(B36:O36)</f>
        <v>0</v>
      </c>
      <c r="Q36" s="16" t="e">
        <f>AVERAGE(Q5:Q35)</f>
        <v>#DIV/0!</v>
      </c>
      <c r="R36" s="55">
        <f t="shared" ref="R36:AE36" si="7">SUM(R5:R35)</f>
        <v>0</v>
      </c>
      <c r="S36" s="55">
        <f t="shared" si="7"/>
        <v>0</v>
      </c>
      <c r="T36" s="56">
        <f t="shared" si="7"/>
        <v>0</v>
      </c>
      <c r="U36" s="57">
        <f t="shared" si="7"/>
        <v>0</v>
      </c>
      <c r="V36" s="318">
        <f t="shared" si="7"/>
        <v>0</v>
      </c>
      <c r="W36" s="57">
        <f t="shared" si="7"/>
        <v>0</v>
      </c>
      <c r="X36" s="367">
        <f t="shared" si="7"/>
        <v>0</v>
      </c>
      <c r="Y36" s="57">
        <f t="shared" si="7"/>
        <v>0</v>
      </c>
      <c r="Z36" s="57">
        <f t="shared" si="7"/>
        <v>0</v>
      </c>
      <c r="AA36" s="57">
        <f t="shared" si="7"/>
        <v>0</v>
      </c>
      <c r="AB36" s="57">
        <f t="shared" si="7"/>
        <v>0</v>
      </c>
      <c r="AC36" s="57">
        <f t="shared" si="7"/>
        <v>0</v>
      </c>
      <c r="AD36" s="57">
        <f t="shared" si="7"/>
        <v>0</v>
      </c>
      <c r="AE36" s="57">
        <f t="shared" si="7"/>
        <v>0</v>
      </c>
      <c r="AF36" s="368">
        <f>SUM(R36:AE36)</f>
        <v>0</v>
      </c>
      <c r="AG36" s="55">
        <f t="shared" ref="AG36:AT36" si="8">SUM(AG5:AG35)</f>
        <v>0</v>
      </c>
      <c r="AH36" s="56">
        <f t="shared" si="8"/>
        <v>0</v>
      </c>
      <c r="AI36" s="56">
        <f t="shared" si="8"/>
        <v>0</v>
      </c>
      <c r="AJ36" s="56">
        <f t="shared" si="8"/>
        <v>0</v>
      </c>
      <c r="AK36" s="58">
        <f t="shared" si="8"/>
        <v>0</v>
      </c>
      <c r="AL36" s="59">
        <f>AG36+AK36+AH36</f>
        <v>0</v>
      </c>
      <c r="AM36" s="59">
        <f t="shared" si="8"/>
        <v>0</v>
      </c>
      <c r="AN36" s="57"/>
      <c r="AO36" s="369">
        <f t="shared" si="8"/>
        <v>0</v>
      </c>
      <c r="AP36" s="371">
        <f t="shared" si="8"/>
        <v>0</v>
      </c>
      <c r="AQ36" s="55">
        <f t="shared" si="8"/>
        <v>0</v>
      </c>
      <c r="AR36" s="56">
        <f t="shared" si="8"/>
        <v>0</v>
      </c>
      <c r="AS36" s="57">
        <f t="shared" si="8"/>
        <v>0</v>
      </c>
      <c r="AT36" s="770">
        <f t="shared" si="8"/>
        <v>0</v>
      </c>
      <c r="AU36" s="771"/>
      <c r="AV36" s="258">
        <f>SUM(AV5:AV35)</f>
        <v>0</v>
      </c>
      <c r="AW36" s="258">
        <f>SUM(AW5:AW35)</f>
        <v>0</v>
      </c>
      <c r="AY36" s="435"/>
      <c r="AZ36" s="435"/>
      <c r="BA36" s="435"/>
      <c r="BB36" s="435"/>
      <c r="BC36" s="437"/>
      <c r="BD36" s="123"/>
      <c r="BE36" s="437"/>
      <c r="BF36" s="438"/>
    </row>
    <row r="37" spans="1:58" ht="21" customHeight="1" thickTop="1" thickBot="1">
      <c r="A37" s="17" t="s">
        <v>108</v>
      </c>
      <c r="B37" s="18"/>
      <c r="C37" s="18"/>
      <c r="D37" s="18"/>
      <c r="E37" s="18"/>
      <c r="F37" s="18"/>
      <c r="G37" s="18"/>
      <c r="H37" s="18"/>
      <c r="I37" s="18"/>
      <c r="J37" s="19"/>
      <c r="K37" s="19"/>
      <c r="L37" s="19"/>
      <c r="M37" s="19">
        <v>0</v>
      </c>
      <c r="N37" s="19">
        <v>0</v>
      </c>
      <c r="O37" s="264">
        <v>0</v>
      </c>
      <c r="P37" s="21"/>
      <c r="Q37" s="48"/>
      <c r="R37" s="18">
        <v>0</v>
      </c>
      <c r="S37" s="18">
        <v>0</v>
      </c>
      <c r="T37" s="18">
        <v>0</v>
      </c>
      <c r="U37" s="22">
        <v>0</v>
      </c>
      <c r="V37" s="319">
        <v>0</v>
      </c>
      <c r="W37" s="22">
        <v>0</v>
      </c>
      <c r="X37" s="319"/>
      <c r="Y37" s="18"/>
      <c r="Z37" s="18"/>
      <c r="AA37" s="18"/>
      <c r="AB37" s="18"/>
      <c r="AC37" s="18"/>
      <c r="AD37" s="18"/>
      <c r="AE37" s="22"/>
      <c r="AF37" s="353"/>
      <c r="AG37" s="18"/>
      <c r="AH37" s="19"/>
      <c r="AI37" s="19"/>
      <c r="AJ37" s="19"/>
      <c r="AK37" s="20"/>
      <c r="AL37" s="21"/>
      <c r="AM37" s="21">
        <v>0</v>
      </c>
      <c r="AN37" s="264"/>
      <c r="AO37" s="327"/>
      <c r="AP37" s="351"/>
      <c r="AQ37" s="18"/>
      <c r="AR37" s="19"/>
      <c r="AS37" s="20"/>
      <c r="AT37" s="22"/>
      <c r="AU37" s="772" t="s">
        <v>39</v>
      </c>
      <c r="AV37" s="775" t="e">
        <f>AV36/'2026년 폐수반입현황'!AY5</f>
        <v>#DIV/0!</v>
      </c>
      <c r="AW37" s="778" t="e">
        <f>AW36/'2026년 폐수반입현황'!AV5</f>
        <v>#DIV/0!</v>
      </c>
      <c r="AY37" s="303"/>
      <c r="AZ37" s="303"/>
      <c r="BA37" s="303"/>
      <c r="BB37" s="301"/>
      <c r="BC37" s="302"/>
      <c r="BD37" s="123"/>
      <c r="BE37" s="302"/>
      <c r="BF37" s="300"/>
    </row>
    <row r="38" spans="1:58" ht="21" customHeight="1" thickBot="1">
      <c r="A38" s="23" t="s">
        <v>46</v>
      </c>
      <c r="B38" s="49">
        <f t="shared" ref="B38:AS38" si="9">B36-B37</f>
        <v>0</v>
      </c>
      <c r="C38" s="49">
        <f>C36-C37</f>
        <v>0</v>
      </c>
      <c r="D38" s="49">
        <f t="shared" si="9"/>
        <v>0</v>
      </c>
      <c r="E38" s="49">
        <f t="shared" si="9"/>
        <v>0</v>
      </c>
      <c r="F38" s="49">
        <f t="shared" si="9"/>
        <v>0</v>
      </c>
      <c r="G38" s="49">
        <f t="shared" si="9"/>
        <v>0</v>
      </c>
      <c r="H38" s="49">
        <f t="shared" si="9"/>
        <v>0</v>
      </c>
      <c r="I38" s="49">
        <f t="shared" si="9"/>
        <v>0</v>
      </c>
      <c r="J38" s="50">
        <f t="shared" si="9"/>
        <v>0</v>
      </c>
      <c r="K38" s="50">
        <f t="shared" si="9"/>
        <v>0</v>
      </c>
      <c r="L38" s="50">
        <f t="shared" si="9"/>
        <v>0</v>
      </c>
      <c r="M38" s="50">
        <f t="shared" si="9"/>
        <v>0</v>
      </c>
      <c r="N38" s="50">
        <f t="shared" si="9"/>
        <v>0</v>
      </c>
      <c r="O38" s="265">
        <f t="shared" si="9"/>
        <v>0</v>
      </c>
      <c r="P38" s="52">
        <f t="shared" si="9"/>
        <v>0</v>
      </c>
      <c r="Q38" s="53" t="e">
        <f t="shared" si="9"/>
        <v>#DIV/0!</v>
      </c>
      <c r="R38" s="49">
        <f t="shared" si="9"/>
        <v>0</v>
      </c>
      <c r="S38" s="49">
        <f t="shared" si="9"/>
        <v>0</v>
      </c>
      <c r="T38" s="49">
        <f t="shared" si="9"/>
        <v>0</v>
      </c>
      <c r="U38" s="54">
        <f t="shared" si="9"/>
        <v>0</v>
      </c>
      <c r="V38" s="320">
        <f t="shared" si="9"/>
        <v>0</v>
      </c>
      <c r="W38" s="54">
        <f t="shared" si="9"/>
        <v>0</v>
      </c>
      <c r="X38" s="320">
        <f t="shared" si="9"/>
        <v>0</v>
      </c>
      <c r="Y38" s="49">
        <f t="shared" si="9"/>
        <v>0</v>
      </c>
      <c r="Z38" s="49">
        <f t="shared" si="9"/>
        <v>0</v>
      </c>
      <c r="AA38" s="49">
        <f t="shared" si="9"/>
        <v>0</v>
      </c>
      <c r="AB38" s="49">
        <f t="shared" si="9"/>
        <v>0</v>
      </c>
      <c r="AC38" s="49">
        <f t="shared" si="9"/>
        <v>0</v>
      </c>
      <c r="AD38" s="49">
        <f t="shared" si="9"/>
        <v>0</v>
      </c>
      <c r="AE38" s="54">
        <f t="shared" si="9"/>
        <v>0</v>
      </c>
      <c r="AF38" s="354">
        <f t="shared" si="9"/>
        <v>0</v>
      </c>
      <c r="AG38" s="49">
        <f t="shared" si="9"/>
        <v>0</v>
      </c>
      <c r="AH38" s="50">
        <f t="shared" si="9"/>
        <v>0</v>
      </c>
      <c r="AI38" s="50">
        <f t="shared" si="9"/>
        <v>0</v>
      </c>
      <c r="AJ38" s="50">
        <f t="shared" si="9"/>
        <v>0</v>
      </c>
      <c r="AK38" s="51">
        <f t="shared" si="9"/>
        <v>0</v>
      </c>
      <c r="AL38" s="52">
        <f>AG38+AK38+AT38</f>
        <v>0</v>
      </c>
      <c r="AM38" s="52">
        <f t="shared" si="9"/>
        <v>0</v>
      </c>
      <c r="AN38" s="265"/>
      <c r="AO38" s="328">
        <v>64.69</v>
      </c>
      <c r="AP38" s="352">
        <f t="shared" si="9"/>
        <v>0</v>
      </c>
      <c r="AQ38" s="49">
        <f t="shared" si="9"/>
        <v>0</v>
      </c>
      <c r="AR38" s="50">
        <f t="shared" si="9"/>
        <v>0</v>
      </c>
      <c r="AS38" s="51">
        <f t="shared" si="9"/>
        <v>0</v>
      </c>
      <c r="AT38" s="306">
        <f>AT36-AT37</f>
        <v>0</v>
      </c>
      <c r="AU38" s="773"/>
      <c r="AV38" s="776"/>
      <c r="AW38" s="779"/>
      <c r="BD38" s="123"/>
    </row>
    <row r="39" spans="1:58" ht="21" customHeight="1" thickBot="1">
      <c r="A39" s="276" t="s">
        <v>189</v>
      </c>
      <c r="B39" s="307"/>
      <c r="C39" s="278"/>
      <c r="D39" s="278"/>
      <c r="E39" s="278"/>
      <c r="F39" s="372"/>
      <c r="G39" s="278"/>
      <c r="H39" s="278"/>
      <c r="I39" s="372"/>
      <c r="J39" s="278"/>
      <c r="K39" s="372"/>
      <c r="L39" s="280"/>
      <c r="M39" s="277">
        <v>0</v>
      </c>
      <c r="N39" s="277">
        <v>0</v>
      </c>
      <c r="O39" s="277">
        <v>0</v>
      </c>
      <c r="P39" s="277"/>
      <c r="Q39" s="277"/>
      <c r="R39" s="277"/>
      <c r="S39" s="277"/>
      <c r="T39" s="277"/>
      <c r="U39" s="277"/>
      <c r="V39" s="277"/>
      <c r="W39" s="307"/>
      <c r="X39" s="321"/>
      <c r="Y39" s="307"/>
      <c r="Z39" s="278"/>
      <c r="AA39" s="281"/>
      <c r="AB39" s="277"/>
      <c r="AC39" s="277"/>
      <c r="AD39" s="307"/>
      <c r="AE39" s="280"/>
      <c r="AF39" s="307"/>
      <c r="AG39" s="329"/>
      <c r="AH39" s="278"/>
      <c r="AI39" s="281"/>
      <c r="AJ39" s="307"/>
      <c r="AK39" s="279"/>
      <c r="AL39" s="282"/>
      <c r="AM39" s="277">
        <v>0</v>
      </c>
      <c r="AN39" s="307"/>
      <c r="AO39" s="329"/>
      <c r="AP39" s="321"/>
      <c r="AQ39" s="277"/>
      <c r="AR39" s="277"/>
      <c r="AS39" s="307"/>
      <c r="AT39" s="321"/>
      <c r="AU39" s="774"/>
      <c r="AV39" s="777"/>
      <c r="AW39" s="780"/>
      <c r="AY39" s="231"/>
      <c r="AZ39" s="285"/>
      <c r="BD39" s="123"/>
    </row>
    <row r="40" spans="1:58" ht="21" customHeight="1" thickBot="1">
      <c r="A40" s="765" t="s">
        <v>194</v>
      </c>
      <c r="B40" s="294" t="e">
        <f>B36/P36</f>
        <v>#DIV/0!</v>
      </c>
      <c r="C40" s="296" t="e">
        <f>C36/P36</f>
        <v>#DIV/0!</v>
      </c>
      <c r="D40" s="297" t="e">
        <f>D36/P36</f>
        <v>#DIV/0!</v>
      </c>
      <c r="E40" s="295" t="e">
        <f>E36/P36</f>
        <v>#DIV/0!</v>
      </c>
      <c r="F40" s="295" t="e">
        <f t="shared" ref="F40:I40" si="10">F36/T36</f>
        <v>#DIV/0!</v>
      </c>
      <c r="G40" s="295" t="e">
        <f>G36/P36</f>
        <v>#DIV/0!</v>
      </c>
      <c r="H40" s="295" t="e">
        <f>H36/P36</f>
        <v>#DIV/0!</v>
      </c>
      <c r="I40" s="295" t="e">
        <f t="shared" si="10"/>
        <v>#DIV/0!</v>
      </c>
      <c r="J40" s="295" t="e">
        <f>J36/P36</f>
        <v>#DIV/0!</v>
      </c>
      <c r="K40" s="296" t="e">
        <f>K36/P36</f>
        <v>#DIV/0!</v>
      </c>
      <c r="L40" s="295" t="e">
        <f>L36/P36</f>
        <v>#DIV/0!</v>
      </c>
      <c r="M40" s="286"/>
      <c r="N40" s="286"/>
      <c r="O40" s="286"/>
      <c r="P40" s="299" t="e">
        <f>B40+C40+D40+E40+G40+J40+K40+H40+L40</f>
        <v>#DIV/0!</v>
      </c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  <c r="AD40" s="286"/>
      <c r="AE40" s="286"/>
      <c r="AF40" s="286"/>
      <c r="AG40" s="286"/>
      <c r="AH40" s="286"/>
      <c r="AI40" s="286"/>
      <c r="AJ40" s="286"/>
      <c r="AK40" s="286"/>
      <c r="AL40" s="67"/>
      <c r="AM40" s="767"/>
      <c r="AN40" s="767"/>
      <c r="AO40" s="767"/>
      <c r="AP40" s="767"/>
      <c r="AQ40" s="767"/>
      <c r="AR40" s="767"/>
      <c r="AS40" s="767"/>
      <c r="AT40" s="767"/>
      <c r="AU40" s="767"/>
      <c r="AV40" s="767"/>
      <c r="AW40" s="767"/>
      <c r="AY40" s="805" t="s">
        <v>187</v>
      </c>
      <c r="AZ40" s="806"/>
      <c r="BA40" s="806"/>
      <c r="BB40" s="806"/>
      <c r="BC40" s="807"/>
      <c r="BD40" s="123"/>
    </row>
    <row r="41" spans="1:58" ht="21" customHeight="1" thickTop="1" thickBot="1">
      <c r="A41" s="766"/>
      <c r="B41" s="808" t="e">
        <f>B40+C40</f>
        <v>#DIV/0!</v>
      </c>
      <c r="C41" s="809"/>
      <c r="D41" s="810" t="e">
        <f>D40+E40+G40+J40+L40+H40</f>
        <v>#DIV/0!</v>
      </c>
      <c r="E41" s="811"/>
      <c r="F41" s="811"/>
      <c r="G41" s="811"/>
      <c r="H41" s="811"/>
      <c r="I41" s="811"/>
      <c r="J41" s="811"/>
      <c r="K41" s="811"/>
      <c r="L41" s="812"/>
      <c r="M41" s="287"/>
      <c r="N41" s="287"/>
      <c r="O41" s="287"/>
      <c r="P41" s="298" t="e">
        <f>B41+C41+D41+E41+G41+J41+K41</f>
        <v>#DIV/0!</v>
      </c>
      <c r="Q41" s="287"/>
      <c r="R41" s="287"/>
      <c r="S41" s="287"/>
      <c r="T41" s="287"/>
      <c r="U41" s="287"/>
      <c r="V41" s="287"/>
      <c r="W41" s="287"/>
      <c r="X41" s="287"/>
      <c r="Y41" s="287"/>
      <c r="Z41" s="287"/>
      <c r="AA41" s="287"/>
      <c r="AB41" s="287"/>
      <c r="AC41" s="287"/>
      <c r="AD41" s="287"/>
      <c r="AE41" s="287"/>
      <c r="AF41" s="287"/>
      <c r="AG41" s="287"/>
      <c r="AH41" s="287"/>
      <c r="AI41" s="287"/>
      <c r="AJ41" s="287"/>
      <c r="AK41" s="287"/>
      <c r="AM41" s="784"/>
      <c r="AN41" s="784"/>
      <c r="AO41" s="784"/>
      <c r="AP41" s="784"/>
      <c r="AQ41" s="784"/>
      <c r="AR41" s="784"/>
      <c r="AS41" s="784"/>
      <c r="AT41" s="784"/>
      <c r="AU41" s="784"/>
      <c r="AV41" s="784"/>
      <c r="AW41" s="784"/>
      <c r="AY41" s="813" t="s">
        <v>78</v>
      </c>
      <c r="AZ41" s="814"/>
      <c r="BA41" s="66" t="s">
        <v>144</v>
      </c>
      <c r="BB41" s="274" t="s">
        <v>195</v>
      </c>
      <c r="BC41" s="283"/>
      <c r="BD41" s="123"/>
    </row>
    <row r="42" spans="1:58" ht="15.95" customHeight="1">
      <c r="A42" s="781"/>
      <c r="B42" s="293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7"/>
      <c r="P42" s="287"/>
      <c r="Q42" s="287"/>
      <c r="R42" s="287"/>
      <c r="S42" s="287"/>
      <c r="T42" s="287"/>
      <c r="U42" s="287"/>
      <c r="V42" s="287"/>
      <c r="W42" s="287"/>
      <c r="X42" s="287"/>
      <c r="Y42" s="287"/>
      <c r="Z42" s="287"/>
      <c r="AA42" s="287"/>
      <c r="AB42" s="287"/>
      <c r="AC42" s="287"/>
      <c r="AD42" s="287"/>
      <c r="AE42" s="287"/>
      <c r="AF42" s="287"/>
      <c r="AG42" s="287"/>
      <c r="AH42" s="287"/>
      <c r="AI42" s="287"/>
      <c r="AJ42" s="287"/>
      <c r="AK42" s="287"/>
      <c r="AM42" s="784"/>
      <c r="AN42" s="784"/>
      <c r="AO42" s="784"/>
      <c r="AP42" s="784"/>
      <c r="AQ42" s="784"/>
      <c r="AR42" s="784"/>
      <c r="AS42" s="784"/>
      <c r="AT42" s="784"/>
      <c r="AU42" s="784"/>
      <c r="AV42" s="784"/>
      <c r="AW42" s="785"/>
      <c r="AY42" s="786" t="s">
        <v>45</v>
      </c>
      <c r="AZ42" s="787"/>
      <c r="BA42" s="284">
        <f>AF36</f>
        <v>0</v>
      </c>
      <c r="BB42" s="80">
        <f>AT36</f>
        <v>0</v>
      </c>
      <c r="BC42" s="85"/>
      <c r="BD42" s="123"/>
    </row>
    <row r="43" spans="1:58" ht="15.95" customHeight="1" thickBot="1">
      <c r="A43" s="782"/>
      <c r="B43" s="291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87"/>
      <c r="AB43" s="287"/>
      <c r="AC43" s="287"/>
      <c r="AD43" s="287"/>
      <c r="AE43" s="287"/>
      <c r="AF43" s="287"/>
      <c r="AG43" s="287"/>
      <c r="AH43" s="287"/>
      <c r="AI43" s="287"/>
      <c r="AJ43" s="287"/>
      <c r="AK43" s="287"/>
      <c r="AL43" s="334"/>
      <c r="AM43" s="788"/>
      <c r="AN43" s="788"/>
      <c r="AO43" s="788"/>
      <c r="AP43" s="788"/>
      <c r="AQ43" s="788"/>
      <c r="AR43" s="788"/>
      <c r="AS43" s="788"/>
      <c r="AT43" s="788"/>
      <c r="AU43" s="788"/>
      <c r="AV43" s="788"/>
      <c r="AW43" s="789"/>
      <c r="AY43" s="786" t="s">
        <v>73</v>
      </c>
      <c r="AZ43" s="787"/>
      <c r="BA43" s="284">
        <v>2479</v>
      </c>
      <c r="BB43" s="64">
        <v>2479</v>
      </c>
      <c r="BC43" s="65"/>
      <c r="BD43" s="123"/>
    </row>
    <row r="44" spans="1:58" ht="15.95" customHeight="1" thickTop="1" thickBot="1">
      <c r="A44" s="782"/>
      <c r="B44" s="291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87"/>
      <c r="AB44" s="287"/>
      <c r="AC44" s="287"/>
      <c r="AD44" s="287"/>
      <c r="AE44" s="287"/>
      <c r="AF44" s="287"/>
      <c r="AG44" s="287"/>
      <c r="AH44" s="287"/>
      <c r="AI44" s="287"/>
      <c r="AJ44" s="287"/>
      <c r="AK44" s="288"/>
      <c r="AL44" s="81"/>
      <c r="AM44" s="790"/>
      <c r="AN44" s="791"/>
      <c r="AO44" s="791"/>
      <c r="AP44" s="791"/>
      <c r="AQ44" s="791"/>
      <c r="AR44" s="791"/>
      <c r="AS44" s="791"/>
      <c r="AT44" s="791"/>
      <c r="AU44" s="791"/>
      <c r="AV44" s="791"/>
      <c r="AW44" s="792"/>
      <c r="AY44" s="793" t="s">
        <v>80</v>
      </c>
      <c r="AZ44" s="794"/>
      <c r="BA44" s="83">
        <v>540</v>
      </c>
      <c r="BB44" s="83">
        <v>540</v>
      </c>
      <c r="BC44" s="84"/>
      <c r="BD44" s="123"/>
    </row>
    <row r="45" spans="1:58" ht="15.75" customHeight="1" thickTop="1" thickBot="1">
      <c r="A45" s="782"/>
      <c r="B45" s="291"/>
      <c r="C45" s="287"/>
      <c r="D45" s="287"/>
      <c r="E45" s="287"/>
      <c r="F45" s="287"/>
      <c r="G45" s="287"/>
      <c r="H45" s="287"/>
      <c r="I45" s="287"/>
      <c r="J45" s="287"/>
      <c r="K45" s="287"/>
      <c r="L45" s="287"/>
      <c r="M45" s="287"/>
      <c r="N45" s="287"/>
      <c r="O45" s="287"/>
      <c r="P45" s="287"/>
      <c r="Q45" s="287"/>
      <c r="R45" s="287"/>
      <c r="S45" s="287"/>
      <c r="T45" s="287"/>
      <c r="U45" s="287"/>
      <c r="V45" s="287"/>
      <c r="W45" s="287"/>
      <c r="X45" s="287"/>
      <c r="Y45" s="287"/>
      <c r="Z45" s="287"/>
      <c r="AA45" s="287"/>
      <c r="AB45" s="287"/>
      <c r="AC45" s="287"/>
      <c r="AD45" s="287"/>
      <c r="AE45" s="287"/>
      <c r="AF45" s="287"/>
      <c r="AG45" s="287"/>
      <c r="AH45" s="287"/>
      <c r="AI45" s="287"/>
      <c r="AJ45" s="287"/>
      <c r="AK45" s="288"/>
      <c r="AL45" s="81"/>
      <c r="AM45" s="790"/>
      <c r="AN45" s="791"/>
      <c r="AO45" s="791"/>
      <c r="AP45" s="791"/>
      <c r="AQ45" s="791"/>
      <c r="AR45" s="791"/>
      <c r="AS45" s="791"/>
      <c r="AT45" s="791"/>
      <c r="AU45" s="791"/>
      <c r="AV45" s="791"/>
      <c r="AW45" s="792"/>
      <c r="AY45" s="795" t="s">
        <v>74</v>
      </c>
      <c r="AZ45" s="796"/>
      <c r="BA45" s="273">
        <f>(BA43+BA44)*BA42</f>
        <v>0</v>
      </c>
      <c r="BB45" s="273">
        <f>(BB43+BB44)*BB42</f>
        <v>0</v>
      </c>
      <c r="BC45" s="82"/>
      <c r="BD45" s="123"/>
    </row>
    <row r="46" spans="1:58" ht="15.95" customHeight="1" thickTop="1" thickBot="1">
      <c r="A46" s="782"/>
      <c r="B46" s="291"/>
      <c r="C46" s="287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287"/>
      <c r="S46" s="287"/>
      <c r="T46" s="287"/>
      <c r="U46" s="287"/>
      <c r="V46" s="287"/>
      <c r="W46" s="287"/>
      <c r="X46" s="287"/>
      <c r="Y46" s="287"/>
      <c r="Z46" s="287"/>
      <c r="AA46" s="287"/>
      <c r="AB46" s="287"/>
      <c r="AC46" s="287"/>
      <c r="AD46" s="287"/>
      <c r="AE46" s="287"/>
      <c r="AF46" s="287"/>
      <c r="AG46" s="287"/>
      <c r="AH46" s="287"/>
      <c r="AI46" s="287"/>
      <c r="AJ46" s="287"/>
      <c r="AK46" s="288"/>
      <c r="AL46" s="81"/>
      <c r="AM46" s="790"/>
      <c r="AN46" s="791"/>
      <c r="AO46" s="791"/>
      <c r="AP46" s="791"/>
      <c r="AQ46" s="791"/>
      <c r="AR46" s="791"/>
      <c r="AS46" s="791"/>
      <c r="AT46" s="791"/>
      <c r="AU46" s="791"/>
      <c r="AV46" s="791"/>
      <c r="AW46" s="792"/>
      <c r="AY46" s="797" t="s">
        <v>77</v>
      </c>
      <c r="AZ46" s="798"/>
      <c r="BA46" s="818">
        <f>BA42+BB42+BC42</f>
        <v>0</v>
      </c>
      <c r="BB46" s="819"/>
      <c r="BC46" s="820"/>
      <c r="BD46" s="123"/>
    </row>
    <row r="47" spans="1:58" ht="15.95" customHeight="1" thickTop="1" thickBot="1">
      <c r="A47" s="782"/>
      <c r="B47" s="291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287"/>
      <c r="S47" s="287"/>
      <c r="T47" s="287"/>
      <c r="U47" s="287"/>
      <c r="V47" s="287"/>
      <c r="W47" s="287"/>
      <c r="X47" s="287"/>
      <c r="Y47" s="287"/>
      <c r="Z47" s="287"/>
      <c r="AA47" s="287"/>
      <c r="AB47" s="287"/>
      <c r="AC47" s="287"/>
      <c r="AD47" s="287"/>
      <c r="AE47" s="287"/>
      <c r="AF47" s="287"/>
      <c r="AG47" s="287"/>
      <c r="AH47" s="287"/>
      <c r="AI47" s="287"/>
      <c r="AJ47" s="287"/>
      <c r="AK47" s="288"/>
      <c r="AL47" s="81"/>
      <c r="AM47" s="790"/>
      <c r="AN47" s="791"/>
      <c r="AO47" s="791"/>
      <c r="AP47" s="791"/>
      <c r="AQ47" s="791"/>
      <c r="AR47" s="791"/>
      <c r="AS47" s="791"/>
      <c r="AT47" s="791"/>
      <c r="AU47" s="791"/>
      <c r="AV47" s="791"/>
      <c r="AW47" s="792"/>
      <c r="AY47" s="821" t="s">
        <v>76</v>
      </c>
      <c r="AZ47" s="822"/>
      <c r="BA47" s="823">
        <f>BA46*BA48</f>
        <v>0</v>
      </c>
      <c r="BB47" s="824"/>
      <c r="BC47" s="825"/>
      <c r="BD47" s="123"/>
    </row>
    <row r="48" spans="1:58" ht="15.95" customHeight="1" thickTop="1" thickBot="1">
      <c r="A48" s="782"/>
      <c r="B48" s="291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287"/>
      <c r="AA48" s="287"/>
      <c r="AB48" s="287"/>
      <c r="AC48" s="287"/>
      <c r="AD48" s="287"/>
      <c r="AE48" s="287"/>
      <c r="AF48" s="287"/>
      <c r="AG48" s="287"/>
      <c r="AH48" s="287"/>
      <c r="AI48" s="287"/>
      <c r="AJ48" s="287"/>
      <c r="AK48" s="288"/>
      <c r="AL48" s="81"/>
      <c r="AM48" s="790"/>
      <c r="AN48" s="791"/>
      <c r="AO48" s="791"/>
      <c r="AP48" s="791"/>
      <c r="AQ48" s="791"/>
      <c r="AR48" s="791"/>
      <c r="AS48" s="791"/>
      <c r="AT48" s="791"/>
      <c r="AU48" s="791"/>
      <c r="AV48" s="791"/>
      <c r="AW48" s="792"/>
      <c r="AY48" s="821" t="s">
        <v>75</v>
      </c>
      <c r="AZ48" s="822"/>
      <c r="BA48" s="826">
        <v>3019</v>
      </c>
      <c r="BB48" s="827"/>
      <c r="BC48" s="828"/>
    </row>
    <row r="49" spans="1:55" ht="15.95" customHeight="1" thickTop="1" thickBot="1">
      <c r="A49" s="783"/>
      <c r="B49" s="292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  <c r="Z49" s="289"/>
      <c r="AA49" s="289"/>
      <c r="AB49" s="289"/>
      <c r="AC49" s="289"/>
      <c r="AD49" s="289"/>
      <c r="AE49" s="289"/>
      <c r="AF49" s="289"/>
      <c r="AG49" s="289"/>
      <c r="AH49" s="289"/>
      <c r="AI49" s="289"/>
      <c r="AJ49" s="289"/>
      <c r="AK49" s="290"/>
      <c r="AL49" s="275"/>
      <c r="AM49" s="799"/>
      <c r="AN49" s="800"/>
      <c r="AO49" s="800"/>
      <c r="AP49" s="800"/>
      <c r="AQ49" s="800"/>
      <c r="AR49" s="800"/>
      <c r="AS49" s="800"/>
      <c r="AT49" s="800"/>
      <c r="AU49" s="800"/>
      <c r="AV49" s="800"/>
      <c r="AW49" s="801"/>
      <c r="AY49" s="802" t="s">
        <v>190</v>
      </c>
      <c r="AZ49" s="803"/>
      <c r="BA49" s="803"/>
      <c r="BB49" s="803"/>
      <c r="BC49" s="804"/>
    </row>
    <row r="51" spans="1:55" ht="14.25" thickBot="1"/>
    <row r="52" spans="1:55" ht="14.25" thickTop="1">
      <c r="AY52" s="235" t="s">
        <v>5</v>
      </c>
      <c r="AZ52" s="815" t="s">
        <v>212</v>
      </c>
      <c r="BA52" s="816"/>
      <c r="BB52" s="815" t="s">
        <v>214</v>
      </c>
      <c r="BC52" s="817"/>
    </row>
    <row r="53" spans="1:55">
      <c r="AY53" s="233" t="s">
        <v>176</v>
      </c>
      <c r="AZ53" s="236" t="s">
        <v>44</v>
      </c>
      <c r="BA53" s="237" t="s">
        <v>177</v>
      </c>
      <c r="BB53" s="234" t="s">
        <v>45</v>
      </c>
      <c r="BC53" s="232" t="s">
        <v>177</v>
      </c>
    </row>
    <row r="54" spans="1:55" ht="14.25" thickBot="1">
      <c r="AY54" s="252">
        <v>29</v>
      </c>
      <c r="AZ54" s="255">
        <f>AW36</f>
        <v>0</v>
      </c>
      <c r="BA54" s="253" t="e">
        <f>AW37</f>
        <v>#DIV/0!</v>
      </c>
      <c r="BB54" s="256">
        <f>AV36</f>
        <v>0</v>
      </c>
      <c r="BC54" s="254" t="e">
        <f>AV37</f>
        <v>#DIV/0!</v>
      </c>
    </row>
    <row r="55" spans="1:55" ht="14.25" thickTop="1"/>
  </sheetData>
  <mergeCells count="70">
    <mergeCell ref="AZ52:BA52"/>
    <mergeCell ref="BB52:BC52"/>
    <mergeCell ref="BA46:BC46"/>
    <mergeCell ref="AM47:AW47"/>
    <mergeCell ref="AY47:AZ47"/>
    <mergeCell ref="BA47:BC47"/>
    <mergeCell ref="AM48:AW48"/>
    <mergeCell ref="AY48:AZ48"/>
    <mergeCell ref="BA48:BC48"/>
    <mergeCell ref="AY40:BC40"/>
    <mergeCell ref="B41:C41"/>
    <mergeCell ref="D41:L41"/>
    <mergeCell ref="AM41:AW41"/>
    <mergeCell ref="AY41:AZ41"/>
    <mergeCell ref="A42:A49"/>
    <mergeCell ref="AM42:AW42"/>
    <mergeCell ref="AY42:AZ42"/>
    <mergeCell ref="AM43:AW43"/>
    <mergeCell ref="AY43:AZ43"/>
    <mergeCell ref="AM44:AW44"/>
    <mergeCell ref="AY44:AZ44"/>
    <mergeCell ref="AM45:AW45"/>
    <mergeCell ref="AY45:AZ45"/>
    <mergeCell ref="AM46:AW46"/>
    <mergeCell ref="AY46:AZ46"/>
    <mergeCell ref="AM49:AW49"/>
    <mergeCell ref="AY49:BC49"/>
    <mergeCell ref="A40:A41"/>
    <mergeCell ref="AM40:AW40"/>
    <mergeCell ref="AT29:AU29"/>
    <mergeCell ref="AT30:AU30"/>
    <mergeCell ref="AT31:AU31"/>
    <mergeCell ref="AT32:AU32"/>
    <mergeCell ref="AT33:AU33"/>
    <mergeCell ref="AT34:AU34"/>
    <mergeCell ref="AT35:AU35"/>
    <mergeCell ref="AT36:AU36"/>
    <mergeCell ref="AU37:AU39"/>
    <mergeCell ref="AV37:AV39"/>
    <mergeCell ref="AW37:AW39"/>
    <mergeCell ref="AT28:AU28"/>
    <mergeCell ref="AT17:AU17"/>
    <mergeCell ref="AT18:AU18"/>
    <mergeCell ref="AT19:AU19"/>
    <mergeCell ref="AT20:AU20"/>
    <mergeCell ref="AT21:AU21"/>
    <mergeCell ref="AT22:AU22"/>
    <mergeCell ref="AT23:AU23"/>
    <mergeCell ref="AT24:AU24"/>
    <mergeCell ref="AT25:AU25"/>
    <mergeCell ref="AT26:AU26"/>
    <mergeCell ref="AT27:AU27"/>
    <mergeCell ref="AT16:AU16"/>
    <mergeCell ref="AT5:AU5"/>
    <mergeCell ref="AT6:AU6"/>
    <mergeCell ref="AT7:AU7"/>
    <mergeCell ref="AT8:AU8"/>
    <mergeCell ref="AT9:AU9"/>
    <mergeCell ref="AT10:AU10"/>
    <mergeCell ref="AT11:AU11"/>
    <mergeCell ref="AT12:AU12"/>
    <mergeCell ref="AT13:AU13"/>
    <mergeCell ref="AT14:AU14"/>
    <mergeCell ref="AT15:AU15"/>
    <mergeCell ref="AT4:AU4"/>
    <mergeCell ref="A1:AV1"/>
    <mergeCell ref="A2:A3"/>
    <mergeCell ref="B2:AW2"/>
    <mergeCell ref="AY2:BB2"/>
    <mergeCell ref="AT3:AU3"/>
  </mergeCells>
  <phoneticPr fontId="4" type="noConversion"/>
  <printOptions horizontalCentered="1" verticalCentered="1"/>
  <pageMargins left="0.11811023622047245" right="0.11811023622047245" top="0.35433070866141736" bottom="0.35433070866141736" header="0" footer="0"/>
  <pageSetup paperSize="8" scale="87" orientation="landscape" r:id="rId1"/>
  <rowBreaks count="1" manualBreakCount="1">
    <brk id="13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F55"/>
  <sheetViews>
    <sheetView tabSelected="1" zoomScaleNormal="100" zoomScaleSheetLayoutView="85" workbookViewId="0">
      <pane xSplit="1" ySplit="4" topLeftCell="B5" activePane="bottomRight" state="frozen"/>
      <selection activeCell="E32" sqref="E32"/>
      <selection pane="topRight" activeCell="E32" sqref="E32"/>
      <selection pane="bottomLeft" activeCell="E32" sqref="E32"/>
      <selection pane="bottomRight" activeCell="E32" sqref="E32"/>
    </sheetView>
  </sheetViews>
  <sheetFormatPr defaultRowHeight="13.5"/>
  <cols>
    <col min="1" max="1" customWidth="true" width="5.77734375" collapsed="true"/>
    <col min="2" max="5" customWidth="true" width="7.77734375" collapsed="true"/>
    <col min="6" max="6" customWidth="true" hidden="true" width="7.5546875" collapsed="true"/>
    <col min="7" max="8" customWidth="true" width="7.77734375" collapsed="true"/>
    <col min="9" max="9" customWidth="true" hidden="true" width="7.77734375" collapsed="true"/>
    <col min="10" max="10" customWidth="true" width="7.77734375" collapsed="true"/>
    <col min="11" max="11" customWidth="true" hidden="true" width="7.77734375" collapsed="true"/>
    <col min="12" max="12" customWidth="true" width="7.77734375" collapsed="true"/>
    <col min="13" max="15" customWidth="true" hidden="true" width="7.77734375" collapsed="true"/>
    <col min="16" max="16" customWidth="true" width="6.77734375" collapsed="true"/>
    <col min="17" max="17" customWidth="true" width="7.77734375" collapsed="true"/>
    <col min="18" max="22" customWidth="true" hidden="true" width="6.77734375" collapsed="true"/>
    <col min="23" max="23" customWidth="true" hidden="true" width="7.77734375" collapsed="true"/>
    <col min="24" max="24" customWidth="true" width="7.6640625" collapsed="true"/>
    <col min="25" max="25" customWidth="true" hidden="true" width="6.77734375" collapsed="true"/>
    <col min="26" max="26" customWidth="true" width="6.77734375" collapsed="true"/>
    <col min="27" max="30" customWidth="true" hidden="true" width="6.77734375" collapsed="true"/>
    <col min="31" max="31" customWidth="true" width="8.0" collapsed="true"/>
    <col min="32" max="32" customWidth="true" width="9.6640625" collapsed="true"/>
    <col min="33" max="34" customWidth="true" width="7.77734375" collapsed="true"/>
    <col min="35" max="36" customWidth="true" hidden="true" width="7.77734375" collapsed="true"/>
    <col min="37" max="37" customWidth="true" width="6.77734375" collapsed="true"/>
    <col min="38" max="38" customWidth="true" width="7.77734375" collapsed="true"/>
    <col min="39" max="40" customWidth="true" hidden="true" width="7.77734375" collapsed="true"/>
    <col min="41" max="42" customWidth="true" width="7.77734375" collapsed="true"/>
    <col min="43" max="45" customWidth="true" hidden="true" width="6.33203125" collapsed="true"/>
    <col min="46" max="46" customWidth="true" width="6.33203125" collapsed="true"/>
    <col min="47" max="47" customWidth="true" width="2.33203125" collapsed="true"/>
    <col min="48" max="49" customWidth="true" width="7.77734375" collapsed="true"/>
    <col min="52" max="52" customWidth="true" width="9.77734375" collapsed="true"/>
    <col min="56" max="57" bestFit="true" customWidth="true" width="10.21875" collapsed="true"/>
    <col min="58" max="58" bestFit="true" customWidth="true" width="10.6640625" collapsed="true"/>
  </cols>
  <sheetData>
    <row r="1" spans="1:57" ht="27" thickBot="1">
      <c r="A1" s="747" t="s">
        <v>218</v>
      </c>
      <c r="B1" s="747"/>
      <c r="C1" s="747"/>
      <c r="D1" s="747"/>
      <c r="E1" s="747"/>
      <c r="F1" s="747"/>
      <c r="G1" s="747"/>
      <c r="H1" s="747"/>
      <c r="I1" s="747"/>
      <c r="J1" s="747"/>
      <c r="K1" s="747"/>
      <c r="L1" s="747"/>
      <c r="M1" s="747"/>
      <c r="N1" s="747"/>
      <c r="O1" s="747"/>
      <c r="P1" s="747"/>
      <c r="Q1" s="747"/>
      <c r="R1" s="747"/>
      <c r="S1" s="747"/>
      <c r="T1" s="747"/>
      <c r="U1" s="747"/>
      <c r="V1" s="747"/>
      <c r="W1" s="747"/>
      <c r="X1" s="747"/>
      <c r="Y1" s="747"/>
      <c r="Z1" s="747"/>
      <c r="AA1" s="747"/>
      <c r="AB1" s="747"/>
      <c r="AC1" s="747"/>
      <c r="AD1" s="747"/>
      <c r="AE1" s="747"/>
      <c r="AF1" s="747"/>
      <c r="AG1" s="747"/>
      <c r="AH1" s="747"/>
      <c r="AI1" s="747"/>
      <c r="AJ1" s="747"/>
      <c r="AK1" s="747"/>
      <c r="AL1" s="747"/>
      <c r="AM1" s="747"/>
      <c r="AN1" s="747"/>
      <c r="AO1" s="747"/>
      <c r="AP1" s="747"/>
      <c r="AQ1" s="747"/>
      <c r="AR1" s="747"/>
      <c r="AS1" s="747"/>
      <c r="AT1" s="747"/>
      <c r="AU1" s="747"/>
      <c r="AV1" s="747"/>
      <c r="AW1" s="13"/>
    </row>
    <row r="2" spans="1:57" ht="21" customHeight="1" thickBot="1">
      <c r="A2" s="748" t="s">
        <v>0</v>
      </c>
      <c r="B2" s="750"/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0"/>
      <c r="U2" s="750"/>
      <c r="V2" s="750"/>
      <c r="W2" s="750"/>
      <c r="X2" s="750"/>
      <c r="Y2" s="750"/>
      <c r="Z2" s="750"/>
      <c r="AA2" s="750"/>
      <c r="AB2" s="750"/>
      <c r="AC2" s="750"/>
      <c r="AD2" s="750"/>
      <c r="AE2" s="750"/>
      <c r="AF2" s="750"/>
      <c r="AG2" s="750"/>
      <c r="AH2" s="750"/>
      <c r="AI2" s="750"/>
      <c r="AJ2" s="750"/>
      <c r="AK2" s="750"/>
      <c r="AL2" s="750"/>
      <c r="AM2" s="750"/>
      <c r="AN2" s="750"/>
      <c r="AO2" s="750"/>
      <c r="AP2" s="750"/>
      <c r="AQ2" s="750"/>
      <c r="AR2" s="750"/>
      <c r="AS2" s="750"/>
      <c r="AT2" s="750"/>
      <c r="AU2" s="750"/>
      <c r="AV2" s="750"/>
      <c r="AW2" s="751"/>
      <c r="AY2" s="752"/>
      <c r="AZ2" s="752"/>
      <c r="BA2" s="752"/>
      <c r="BB2" s="752"/>
    </row>
    <row r="3" spans="1:57" ht="50.1" customHeight="1">
      <c r="A3" s="749"/>
      <c r="B3" s="62" t="s">
        <v>71</v>
      </c>
      <c r="C3" s="63" t="s">
        <v>61</v>
      </c>
      <c r="D3" s="25" t="s">
        <v>175</v>
      </c>
      <c r="E3" s="24" t="s">
        <v>173</v>
      </c>
      <c r="F3" s="24"/>
      <c r="G3" s="24" t="s">
        <v>206</v>
      </c>
      <c r="H3" s="24" t="s">
        <v>205</v>
      </c>
      <c r="I3" s="24" t="s">
        <v>28</v>
      </c>
      <c r="J3" s="24" t="s">
        <v>151</v>
      </c>
      <c r="K3" s="24" t="s">
        <v>174</v>
      </c>
      <c r="L3" s="24" t="s">
        <v>203</v>
      </c>
      <c r="M3" s="24" t="s">
        <v>48</v>
      </c>
      <c r="N3" s="24" t="s">
        <v>52</v>
      </c>
      <c r="O3" s="24" t="s">
        <v>53</v>
      </c>
      <c r="P3" s="26" t="s">
        <v>43</v>
      </c>
      <c r="Q3" s="27" t="s">
        <v>18</v>
      </c>
      <c r="R3" s="28" t="s">
        <v>193</v>
      </c>
      <c r="S3" s="28" t="s">
        <v>20</v>
      </c>
      <c r="T3" s="29" t="s">
        <v>32</v>
      </c>
      <c r="U3" s="30" t="s">
        <v>21</v>
      </c>
      <c r="V3" s="316" t="s">
        <v>66</v>
      </c>
      <c r="W3" s="30" t="s">
        <v>72</v>
      </c>
      <c r="X3" s="358" t="s">
        <v>38</v>
      </c>
      <c r="Y3" s="359" t="s">
        <v>181</v>
      </c>
      <c r="Z3" s="359" t="s">
        <v>202</v>
      </c>
      <c r="AA3" s="359" t="s">
        <v>49</v>
      </c>
      <c r="AB3" s="359" t="s">
        <v>50</v>
      </c>
      <c r="AC3" s="359" t="s">
        <v>51</v>
      </c>
      <c r="AD3" s="359" t="s">
        <v>24</v>
      </c>
      <c r="AE3" s="360" t="s">
        <v>33</v>
      </c>
      <c r="AF3" s="361" t="s">
        <v>19</v>
      </c>
      <c r="AG3" s="356" t="s">
        <v>198</v>
      </c>
      <c r="AH3" s="31" t="s">
        <v>42</v>
      </c>
      <c r="AI3" s="31" t="s">
        <v>36</v>
      </c>
      <c r="AJ3" s="31" t="s">
        <v>114</v>
      </c>
      <c r="AK3" s="32" t="s">
        <v>201</v>
      </c>
      <c r="AL3" s="313" t="s">
        <v>196</v>
      </c>
      <c r="AM3" s="33" t="s">
        <v>36</v>
      </c>
      <c r="AN3" s="315" t="s">
        <v>114</v>
      </c>
      <c r="AO3" s="322" t="s">
        <v>200</v>
      </c>
      <c r="AP3" s="346" t="s">
        <v>26</v>
      </c>
      <c r="AQ3" s="309" t="s">
        <v>36</v>
      </c>
      <c r="AR3" s="34" t="s">
        <v>47</v>
      </c>
      <c r="AS3" s="311" t="s">
        <v>48</v>
      </c>
      <c r="AT3" s="753" t="s">
        <v>156</v>
      </c>
      <c r="AU3" s="754"/>
      <c r="AV3" s="229" t="s">
        <v>213</v>
      </c>
      <c r="AW3" s="86" t="s">
        <v>211</v>
      </c>
      <c r="AY3" s="417"/>
      <c r="AZ3" s="417"/>
      <c r="BA3" s="417"/>
      <c r="BB3" s="417"/>
    </row>
    <row r="4" spans="1:57" ht="27.75" customHeight="1" thickBot="1">
      <c r="A4" s="14" t="s">
        <v>27</v>
      </c>
      <c r="B4" s="35" t="s">
        <v>172</v>
      </c>
      <c r="C4" s="35" t="s">
        <v>157</v>
      </c>
      <c r="D4" s="35" t="s">
        <v>62</v>
      </c>
      <c r="E4" s="36" t="s">
        <v>159</v>
      </c>
      <c r="F4" s="36"/>
      <c r="G4" s="36" t="s">
        <v>178</v>
      </c>
      <c r="H4" s="36" t="s">
        <v>158</v>
      </c>
      <c r="I4" s="36"/>
      <c r="J4" s="36" t="s">
        <v>179</v>
      </c>
      <c r="K4" s="36" t="s">
        <v>160</v>
      </c>
      <c r="L4" s="36" t="s">
        <v>204</v>
      </c>
      <c r="M4" s="36"/>
      <c r="N4" s="36"/>
      <c r="O4" s="37"/>
      <c r="P4" s="38"/>
      <c r="Q4" s="39"/>
      <c r="R4" s="40" t="s">
        <v>183</v>
      </c>
      <c r="S4" s="40"/>
      <c r="T4" s="40" t="s">
        <v>64</v>
      </c>
      <c r="U4" s="41"/>
      <c r="V4" s="317" t="s">
        <v>65</v>
      </c>
      <c r="W4" s="355" t="s">
        <v>35</v>
      </c>
      <c r="X4" s="317" t="s">
        <v>161</v>
      </c>
      <c r="Y4" s="40" t="s">
        <v>182</v>
      </c>
      <c r="Z4" s="41" t="s">
        <v>207</v>
      </c>
      <c r="AA4" s="41"/>
      <c r="AB4" s="41"/>
      <c r="AC4" s="41"/>
      <c r="AD4" s="41"/>
      <c r="AE4" s="42"/>
      <c r="AF4" s="362" t="s">
        <v>60</v>
      </c>
      <c r="AG4" s="357" t="s">
        <v>199</v>
      </c>
      <c r="AH4" s="43" t="s">
        <v>171</v>
      </c>
      <c r="AI4" s="43"/>
      <c r="AJ4" s="43"/>
      <c r="AK4" s="44"/>
      <c r="AL4" s="314"/>
      <c r="AM4" s="45"/>
      <c r="AN4" s="308"/>
      <c r="AO4" s="323"/>
      <c r="AP4" s="347"/>
      <c r="AQ4" s="310"/>
      <c r="AR4" s="46"/>
      <c r="AS4" s="312"/>
      <c r="AT4" s="745" t="s">
        <v>191</v>
      </c>
      <c r="AU4" s="746"/>
      <c r="AV4" s="230"/>
      <c r="AW4" s="47"/>
      <c r="AY4" s="418"/>
      <c r="AZ4" s="418"/>
      <c r="BA4" s="419"/>
      <c r="BB4" s="1"/>
    </row>
    <row r="5" spans="1:57" s="5" customFormat="1" ht="21" customHeight="1">
      <c r="A5" s="962" t="s">
        <v>220</v>
      </c>
      <c r="B5" s="963"/>
      <c r="C5" s="963"/>
      <c r="D5" s="963"/>
      <c r="E5" s="963"/>
      <c r="F5" s="963"/>
      <c r="G5" s="963"/>
      <c r="H5" s="963"/>
      <c r="I5" s="963"/>
      <c r="J5" s="963"/>
      <c r="K5" s="963"/>
      <c r="L5" s="963"/>
      <c r="M5" s="964"/>
      <c r="N5" s="964"/>
      <c r="O5" s="965"/>
      <c r="P5" s="966">
        <f t="shared" ref="P5:P29" si="0">SUM(B5:O5)</f>
        <v>0</v>
      </c>
      <c r="Q5" s="967" t="e">
        <f t="shared" ref="Q5:Q35" si="1">P5/AV5</f>
        <v>#DIV/0!</v>
      </c>
      <c r="R5" s="968"/>
      <c r="S5" s="963"/>
      <c r="T5" s="963"/>
      <c r="U5" s="969"/>
      <c r="V5" s="970"/>
      <c r="W5" s="969"/>
      <c r="X5" s="970"/>
      <c r="Y5" s="963"/>
      <c r="Z5" s="963"/>
      <c r="AA5" s="963"/>
      <c r="AB5" s="963"/>
      <c r="AC5" s="963"/>
      <c r="AD5" s="963"/>
      <c r="AE5" s="969"/>
      <c r="AF5" s="971">
        <f t="shared" ref="AF5:AF35" si="2">SUM(R5:AE5)</f>
        <v>0</v>
      </c>
      <c r="AG5" s="972"/>
      <c r="AH5" s="963"/>
      <c r="AI5" s="963"/>
      <c r="AJ5" s="963"/>
      <c r="AK5" s="973"/>
      <c r="AL5" s="972">
        <f>AG5+AK5+AH5</f>
        <v>0</v>
      </c>
      <c r="AM5" s="966"/>
      <c r="AN5" s="969"/>
      <c r="AO5" s="974"/>
      <c r="AP5" s="975"/>
      <c r="AQ5" s="972"/>
      <c r="AR5" s="963"/>
      <c r="AS5" s="969"/>
      <c r="AT5" s="976"/>
      <c r="AU5" s="977"/>
      <c r="AV5" s="978">
        <f>P5+AF5+AL5+AM5+AP5+AO5+AT5</f>
        <v>0</v>
      </c>
      <c r="AW5" s="979"/>
      <c r="AY5" s="420"/>
      <c r="AZ5" s="420"/>
      <c r="BA5" s="421"/>
      <c r="BB5" s="421"/>
    </row>
    <row r="6" spans="1:57" s="4" customFormat="1" ht="21" customHeight="1">
      <c r="A6" s="962" t="s">
        <v>221</v>
      </c>
      <c r="B6" s="980"/>
      <c r="C6" s="980"/>
      <c r="D6" s="980"/>
      <c r="E6" s="980"/>
      <c r="F6" s="980"/>
      <c r="G6" s="980"/>
      <c r="H6" s="980"/>
      <c r="I6" s="980"/>
      <c r="J6" s="980"/>
      <c r="K6" s="980"/>
      <c r="L6" s="980"/>
      <c r="M6" s="980"/>
      <c r="N6" s="980"/>
      <c r="O6" s="981"/>
      <c r="P6" s="982">
        <f t="shared" si="0"/>
        <v>0</v>
      </c>
      <c r="Q6" s="983" t="e">
        <f t="shared" si="1"/>
        <v>#DIV/0!</v>
      </c>
      <c r="R6" s="984"/>
      <c r="S6" s="980"/>
      <c r="T6" s="980"/>
      <c r="U6" s="981"/>
      <c r="V6" s="985"/>
      <c r="W6" s="981"/>
      <c r="X6" s="985"/>
      <c r="Y6" s="980"/>
      <c r="Z6" s="980"/>
      <c r="AA6" s="980"/>
      <c r="AB6" s="980"/>
      <c r="AC6" s="980"/>
      <c r="AD6" s="980"/>
      <c r="AE6" s="981"/>
      <c r="AF6" s="986">
        <f t="shared" si="2"/>
        <v>0</v>
      </c>
      <c r="AG6" s="984"/>
      <c r="AH6" s="980"/>
      <c r="AI6" s="980"/>
      <c r="AJ6" s="980"/>
      <c r="AK6" s="987"/>
      <c r="AL6" s="984">
        <f t="shared" ref="AL6:AL35" si="3">AG6+AK6+AH6</f>
        <v>0</v>
      </c>
      <c r="AM6" s="982"/>
      <c r="AN6" s="981"/>
      <c r="AO6" s="988"/>
      <c r="AP6" s="989"/>
      <c r="AQ6" s="984"/>
      <c r="AR6" s="980"/>
      <c r="AS6" s="981"/>
      <c r="AT6" s="990"/>
      <c r="AU6" s="991"/>
      <c r="AV6" s="992">
        <f t="shared" ref="AV6:AV35" si="4">P6+AF6+AL6+AM6+AP6+AO6+AT6</f>
        <v>0</v>
      </c>
      <c r="AW6" s="993"/>
      <c r="AY6" s="422"/>
      <c r="AZ6" s="422"/>
      <c r="BA6" s="423"/>
      <c r="BB6" s="423"/>
    </row>
    <row r="7" spans="1:57" s="4" customFormat="1" ht="21" customHeight="1">
      <c r="A7" s="994" t="s">
        <v>222</v>
      </c>
      <c r="B7" s="995"/>
      <c r="C7" s="995"/>
      <c r="D7" s="995"/>
      <c r="E7" s="995"/>
      <c r="F7" s="995"/>
      <c r="G7" s="995"/>
      <c r="H7" s="995"/>
      <c r="I7" s="995"/>
      <c r="J7" s="995"/>
      <c r="K7" s="995"/>
      <c r="L7" s="995"/>
      <c r="M7" s="995"/>
      <c r="N7" s="995"/>
      <c r="O7" s="996"/>
      <c r="P7" s="997">
        <f t="shared" si="0"/>
        <v>0</v>
      </c>
      <c r="Q7" s="998" t="e">
        <f t="shared" si="1"/>
        <v>#DIV/0!</v>
      </c>
      <c r="R7" s="999"/>
      <c r="S7" s="995"/>
      <c r="T7" s="995"/>
      <c r="U7" s="996"/>
      <c r="V7" s="1000"/>
      <c r="W7" s="996"/>
      <c r="X7" s="1000"/>
      <c r="Y7" s="995"/>
      <c r="Z7" s="995"/>
      <c r="AA7" s="995"/>
      <c r="AB7" s="995"/>
      <c r="AC7" s="995"/>
      <c r="AD7" s="995"/>
      <c r="AE7" s="996"/>
      <c r="AF7" s="1001">
        <f t="shared" si="2"/>
        <v>0</v>
      </c>
      <c r="AG7" s="999"/>
      <c r="AH7" s="995"/>
      <c r="AI7" s="995"/>
      <c r="AJ7" s="995"/>
      <c r="AK7" s="1002"/>
      <c r="AL7" s="999">
        <f t="shared" si="3"/>
        <v>0</v>
      </c>
      <c r="AM7" s="997"/>
      <c r="AN7" s="996"/>
      <c r="AO7" s="1003"/>
      <c r="AP7" s="1004"/>
      <c r="AQ7" s="999"/>
      <c r="AR7" s="995"/>
      <c r="AS7" s="996"/>
      <c r="AT7" s="1005"/>
      <c r="AU7" s="1006"/>
      <c r="AV7" s="1007">
        <f t="shared" si="4"/>
        <v>0</v>
      </c>
      <c r="AW7" s="1008"/>
      <c r="AY7" s="422"/>
      <c r="AZ7" s="422"/>
      <c r="BA7" s="423"/>
      <c r="BB7" s="423"/>
    </row>
    <row r="8" spans="1:57" s="6" customFormat="1" ht="21" customHeight="1">
      <c r="A8" s="1024" t="s">
        <v>223</v>
      </c>
      <c r="B8" s="1025"/>
      <c r="C8" s="1026"/>
      <c r="D8" s="1026"/>
      <c r="E8" s="1026"/>
      <c r="F8" s="1026"/>
      <c r="G8" s="1026"/>
      <c r="H8" s="1026"/>
      <c r="I8" s="1026"/>
      <c r="J8" s="1026"/>
      <c r="K8" s="1026"/>
      <c r="L8" s="1026"/>
      <c r="M8" s="1026"/>
      <c r="N8" s="1026"/>
      <c r="O8" s="1027"/>
      <c r="P8" s="1028">
        <f>SUM(B8:O8)</f>
        <v>0</v>
      </c>
      <c r="Q8" s="1029" t="e">
        <f t="shared" si="1"/>
        <v>#DIV/0!</v>
      </c>
      <c r="R8" s="1030"/>
      <c r="S8" s="1026"/>
      <c r="T8" s="1026"/>
      <c r="U8" s="1027"/>
      <c r="V8" s="1031"/>
      <c r="W8" s="1027"/>
      <c r="X8" s="1031"/>
      <c r="Y8" s="1026"/>
      <c r="Z8" s="1026"/>
      <c r="AA8" s="1026"/>
      <c r="AB8" s="1026"/>
      <c r="AC8" s="1026"/>
      <c r="AD8" s="1026"/>
      <c r="AE8" s="1027"/>
      <c r="AF8" s="1032">
        <f t="shared" si="2"/>
        <v>0</v>
      </c>
      <c r="AG8" s="1030"/>
      <c r="AH8" s="1026"/>
      <c r="AI8" s="1026"/>
      <c r="AJ8" s="1026"/>
      <c r="AK8" s="1033"/>
      <c r="AL8" s="1030">
        <f t="shared" si="3"/>
        <v>0</v>
      </c>
      <c r="AM8" s="1028"/>
      <c r="AN8" s="1027"/>
      <c r="AO8" s="1034"/>
      <c r="AP8" s="1035"/>
      <c r="AQ8" s="1030"/>
      <c r="AR8" s="1026"/>
      <c r="AS8" s="1027"/>
      <c r="AT8" s="1036"/>
      <c r="AU8" s="1037"/>
      <c r="AV8" s="1038">
        <f t="shared" si="4"/>
        <v>0</v>
      </c>
      <c r="AW8" s="1039"/>
      <c r="AY8" s="13"/>
      <c r="AZ8" s="13"/>
      <c r="BA8" s="424"/>
      <c r="BB8" s="424"/>
    </row>
    <row r="9" spans="1:57" s="123" customFormat="1" ht="21" customHeight="1">
      <c r="A9" s="962" t="s">
        <v>224</v>
      </c>
      <c r="B9" s="1040"/>
      <c r="C9" s="1040"/>
      <c r="D9" s="1040"/>
      <c r="E9" s="1040"/>
      <c r="F9" s="1040"/>
      <c r="G9" s="1040"/>
      <c r="H9" s="1040"/>
      <c r="I9" s="1040"/>
      <c r="J9" s="1040"/>
      <c r="K9" s="1040"/>
      <c r="L9" s="1040"/>
      <c r="M9" s="1041"/>
      <c r="N9" s="1041"/>
      <c r="O9" s="1042"/>
      <c r="P9" s="1043">
        <f t="shared" si="0"/>
        <v>0</v>
      </c>
      <c r="Q9" s="1044" t="e">
        <f t="shared" si="1"/>
        <v>#DIV/0!</v>
      </c>
      <c r="R9" s="1045"/>
      <c r="S9" s="1041"/>
      <c r="T9" s="1041"/>
      <c r="U9" s="1042"/>
      <c r="V9" s="1046"/>
      <c r="W9" s="1042"/>
      <c r="X9" s="1046"/>
      <c r="Y9" s="1041"/>
      <c r="Z9" s="1041"/>
      <c r="AA9" s="1041"/>
      <c r="AB9" s="1041"/>
      <c r="AC9" s="1041"/>
      <c r="AD9" s="1041"/>
      <c r="AE9" s="1042"/>
      <c r="AF9" s="1047">
        <f t="shared" si="2"/>
        <v>0</v>
      </c>
      <c r="AG9" s="1045"/>
      <c r="AH9" s="1040"/>
      <c r="AI9" s="1040"/>
      <c r="AJ9" s="1040"/>
      <c r="AK9" s="1048"/>
      <c r="AL9" s="1045">
        <f t="shared" si="3"/>
        <v>0</v>
      </c>
      <c r="AM9" s="1043"/>
      <c r="AN9" s="1042"/>
      <c r="AO9" s="1049"/>
      <c r="AP9" s="1050"/>
      <c r="AQ9" s="1045"/>
      <c r="AR9" s="1041"/>
      <c r="AS9" s="1042"/>
      <c r="AT9" s="1051"/>
      <c r="AU9" s="1052"/>
      <c r="AV9" s="1053">
        <f t="shared" si="4"/>
        <v>0</v>
      </c>
      <c r="AW9" s="1054"/>
      <c r="AY9" s="13"/>
      <c r="AZ9" s="13"/>
      <c r="BA9" s="424"/>
      <c r="BB9" s="424"/>
      <c r="BE9" s="4"/>
    </row>
    <row r="10" spans="1:57" s="5" customFormat="1" ht="21" customHeight="1">
      <c r="A10" s="962" t="s">
        <v>225</v>
      </c>
      <c r="B10" s="1041"/>
      <c r="C10" s="1041"/>
      <c r="D10" s="1041"/>
      <c r="E10" s="1041"/>
      <c r="F10" s="1041"/>
      <c r="G10" s="1041"/>
      <c r="H10" s="1041"/>
      <c r="I10" s="1041"/>
      <c r="J10" s="1041"/>
      <c r="K10" s="1041"/>
      <c r="L10" s="1041"/>
      <c r="M10" s="1041"/>
      <c r="N10" s="1041"/>
      <c r="O10" s="1042"/>
      <c r="P10" s="1043">
        <f t="shared" si="0"/>
        <v>0</v>
      </c>
      <c r="Q10" s="1044" t="e">
        <f t="shared" si="1"/>
        <v>#DIV/0!</v>
      </c>
      <c r="R10" s="1045"/>
      <c r="S10" s="1041"/>
      <c r="T10" s="1041"/>
      <c r="U10" s="1042"/>
      <c r="V10" s="1046"/>
      <c r="W10" s="1042"/>
      <c r="X10" s="1046"/>
      <c r="Y10" s="1041"/>
      <c r="Z10" s="1041"/>
      <c r="AA10" s="1041"/>
      <c r="AB10" s="1041"/>
      <c r="AC10" s="1041"/>
      <c r="AD10" s="1041"/>
      <c r="AE10" s="1042"/>
      <c r="AF10" s="1047">
        <f t="shared" si="2"/>
        <v>0</v>
      </c>
      <c r="AG10" s="1045"/>
      <c r="AH10" s="1041"/>
      <c r="AI10" s="1041"/>
      <c r="AJ10" s="1041"/>
      <c r="AK10" s="1055"/>
      <c r="AL10" s="1045">
        <f t="shared" si="3"/>
        <v>0</v>
      </c>
      <c r="AM10" s="1043"/>
      <c r="AN10" s="1042"/>
      <c r="AO10" s="1049"/>
      <c r="AP10" s="1050"/>
      <c r="AQ10" s="1045"/>
      <c r="AR10" s="1041"/>
      <c r="AS10" s="1042"/>
      <c r="AT10" s="1051"/>
      <c r="AU10" s="1052"/>
      <c r="AV10" s="1053">
        <f t="shared" si="4"/>
        <v>0</v>
      </c>
      <c r="AW10" s="1054"/>
      <c r="AY10" s="422"/>
      <c r="AZ10" s="420"/>
      <c r="BA10" s="421"/>
      <c r="BB10" s="421"/>
      <c r="BE10" s="4"/>
    </row>
    <row r="11" spans="1:57" s="4" customFormat="1" ht="21" customHeight="1">
      <c r="A11" s="962" t="s">
        <v>226</v>
      </c>
      <c r="B11" s="1041"/>
      <c r="C11" s="1041"/>
      <c r="D11" s="1041"/>
      <c r="E11" s="1041"/>
      <c r="F11" s="1041"/>
      <c r="G11" s="1041"/>
      <c r="H11" s="1041"/>
      <c r="I11" s="1041"/>
      <c r="J11" s="1041"/>
      <c r="K11" s="1041"/>
      <c r="L11" s="1041"/>
      <c r="M11" s="1041"/>
      <c r="N11" s="1041"/>
      <c r="O11" s="1042"/>
      <c r="P11" s="1043">
        <f t="shared" si="0"/>
        <v>0</v>
      </c>
      <c r="Q11" s="1044" t="e">
        <f t="shared" si="1"/>
        <v>#DIV/0!</v>
      </c>
      <c r="R11" s="1045"/>
      <c r="S11" s="1041"/>
      <c r="T11" s="1041"/>
      <c r="U11" s="1042"/>
      <c r="V11" s="1046"/>
      <c r="W11" s="1042"/>
      <c r="X11" s="1046"/>
      <c r="Y11" s="1041"/>
      <c r="Z11" s="1041"/>
      <c r="AA11" s="1041"/>
      <c r="AB11" s="1041"/>
      <c r="AC11" s="1041"/>
      <c r="AD11" s="1041"/>
      <c r="AE11" s="1042"/>
      <c r="AF11" s="1047">
        <f t="shared" si="2"/>
        <v>0</v>
      </c>
      <c r="AG11" s="1045"/>
      <c r="AH11" s="1041"/>
      <c r="AI11" s="1041"/>
      <c r="AJ11" s="1041"/>
      <c r="AK11" s="1055"/>
      <c r="AL11" s="1045">
        <f t="shared" si="3"/>
        <v>0</v>
      </c>
      <c r="AM11" s="1043"/>
      <c r="AN11" s="1042"/>
      <c r="AO11" s="1056"/>
      <c r="AP11" s="1050"/>
      <c r="AQ11" s="1045"/>
      <c r="AR11" s="1041"/>
      <c r="AS11" s="1042"/>
      <c r="AT11" s="1051"/>
      <c r="AU11" s="1052"/>
      <c r="AV11" s="1053">
        <f t="shared" si="4"/>
        <v>0</v>
      </c>
      <c r="AW11" s="1054"/>
      <c r="AY11" s="422"/>
      <c r="AZ11" s="13"/>
      <c r="BA11" s="423"/>
      <c r="BB11" s="423"/>
      <c r="BD11" s="6"/>
    </row>
    <row r="12" spans="1:57" s="5" customFormat="1" ht="21" customHeight="1">
      <c r="A12" s="962" t="s">
        <v>227</v>
      </c>
      <c r="B12" s="1057"/>
      <c r="C12" s="1057"/>
      <c r="D12" s="1057"/>
      <c r="E12" s="1057"/>
      <c r="F12" s="1057"/>
      <c r="G12" s="1057"/>
      <c r="H12" s="1057"/>
      <c r="I12" s="1057"/>
      <c r="J12" s="1057"/>
      <c r="K12" s="1057"/>
      <c r="L12" s="1057"/>
      <c r="M12" s="1057"/>
      <c r="N12" s="1057"/>
      <c r="O12" s="1058"/>
      <c r="P12" s="1059">
        <f t="shared" si="0"/>
        <v>0</v>
      </c>
      <c r="Q12" s="1060" t="e">
        <f t="shared" si="1"/>
        <v>#DIV/0!</v>
      </c>
      <c r="R12" s="1061"/>
      <c r="S12" s="1057"/>
      <c r="T12" s="1057"/>
      <c r="U12" s="1058"/>
      <c r="V12" s="1062"/>
      <c r="W12" s="1058"/>
      <c r="X12" s="1062"/>
      <c r="Y12" s="1057"/>
      <c r="Z12" s="1057"/>
      <c r="AA12" s="1057"/>
      <c r="AB12" s="1057"/>
      <c r="AC12" s="1057"/>
      <c r="AD12" s="1057"/>
      <c r="AE12" s="1058"/>
      <c r="AF12" s="1063">
        <f t="shared" si="2"/>
        <v>0</v>
      </c>
      <c r="AG12" s="1061"/>
      <c r="AH12" s="1057"/>
      <c r="AI12" s="1057"/>
      <c r="AJ12" s="1057"/>
      <c r="AK12" s="1064"/>
      <c r="AL12" s="1061">
        <f t="shared" si="3"/>
        <v>0</v>
      </c>
      <c r="AM12" s="1059"/>
      <c r="AN12" s="1058"/>
      <c r="AO12" s="1065"/>
      <c r="AP12" s="1066"/>
      <c r="AQ12" s="1061"/>
      <c r="AR12" s="1057"/>
      <c r="AS12" s="1058"/>
      <c r="AT12" s="1067"/>
      <c r="AU12" s="1068"/>
      <c r="AV12" s="1069">
        <f t="shared" si="4"/>
        <v>0</v>
      </c>
      <c r="AW12" s="1070"/>
      <c r="AY12" s="423"/>
      <c r="AZ12" s="422"/>
      <c r="BA12" s="421"/>
      <c r="BB12" s="421"/>
    </row>
    <row r="13" spans="1:57" s="4" customFormat="1" ht="21" customHeight="1">
      <c r="A13" s="962" t="s">
        <v>228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980"/>
      <c r="O13" s="981"/>
      <c r="P13" s="982">
        <f t="shared" si="0"/>
        <v>0</v>
      </c>
      <c r="Q13" s="983" t="e">
        <f t="shared" si="1"/>
        <v>#DIV/0!</v>
      </c>
      <c r="R13" s="984"/>
      <c r="S13" s="980"/>
      <c r="T13" s="980"/>
      <c r="U13" s="981"/>
      <c r="V13" s="985"/>
      <c r="W13" s="981"/>
      <c r="X13" s="985"/>
      <c r="Y13" s="980"/>
      <c r="Z13" s="980"/>
      <c r="AA13" s="980"/>
      <c r="AB13" s="980"/>
      <c r="AC13" s="980"/>
      <c r="AD13" s="980"/>
      <c r="AE13" s="981"/>
      <c r="AF13" s="986">
        <f t="shared" si="2"/>
        <v>0</v>
      </c>
      <c r="AG13" s="984"/>
      <c r="AH13" s="980"/>
      <c r="AI13" s="980"/>
      <c r="AJ13" s="980"/>
      <c r="AK13" s="987"/>
      <c r="AL13" s="984">
        <f t="shared" si="3"/>
        <v>0</v>
      </c>
      <c r="AM13" s="982"/>
      <c r="AN13" s="981"/>
      <c r="AO13" s="988"/>
      <c r="AP13" s="989"/>
      <c r="AQ13" s="984"/>
      <c r="AR13" s="980"/>
      <c r="AS13" s="981"/>
      <c r="AT13" s="990"/>
      <c r="AU13" s="991"/>
      <c r="AV13" s="992">
        <f t="shared" si="4"/>
        <v>0</v>
      </c>
      <c r="AW13" s="993"/>
      <c r="AY13" s="13"/>
      <c r="AZ13" s="423"/>
      <c r="BA13" s="423"/>
      <c r="BB13" s="423"/>
    </row>
    <row r="14" spans="1:57" s="4" customFormat="1" ht="21" customHeight="1">
      <c r="A14" s="994" t="s">
        <v>229</v>
      </c>
      <c r="B14" s="995"/>
      <c r="C14" s="995"/>
      <c r="D14" s="995"/>
      <c r="E14" s="995"/>
      <c r="F14" s="995"/>
      <c r="G14" s="995"/>
      <c r="H14" s="995"/>
      <c r="I14" s="995"/>
      <c r="J14" s="995"/>
      <c r="K14" s="995"/>
      <c r="L14" s="995"/>
      <c r="M14" s="995"/>
      <c r="N14" s="995"/>
      <c r="O14" s="996"/>
      <c r="P14" s="997">
        <f t="shared" si="0"/>
        <v>0</v>
      </c>
      <c r="Q14" s="998" t="e">
        <f t="shared" si="1"/>
        <v>#DIV/0!</v>
      </c>
      <c r="R14" s="999"/>
      <c r="S14" s="995"/>
      <c r="T14" s="995"/>
      <c r="U14" s="996"/>
      <c r="V14" s="1000"/>
      <c r="W14" s="996"/>
      <c r="X14" s="1000"/>
      <c r="Y14" s="995"/>
      <c r="Z14" s="995"/>
      <c r="AA14" s="995"/>
      <c r="AB14" s="995"/>
      <c r="AC14" s="995"/>
      <c r="AD14" s="995"/>
      <c r="AE14" s="996"/>
      <c r="AF14" s="1001">
        <f t="shared" si="2"/>
        <v>0</v>
      </c>
      <c r="AG14" s="999"/>
      <c r="AH14" s="995"/>
      <c r="AI14" s="995"/>
      <c r="AJ14" s="995"/>
      <c r="AK14" s="1002"/>
      <c r="AL14" s="999">
        <f t="shared" si="3"/>
        <v>0</v>
      </c>
      <c r="AM14" s="997"/>
      <c r="AN14" s="996"/>
      <c r="AO14" s="1003"/>
      <c r="AP14" s="1004"/>
      <c r="AQ14" s="999"/>
      <c r="AR14" s="995"/>
      <c r="AS14" s="996"/>
      <c r="AT14" s="1005"/>
      <c r="AU14" s="1006"/>
      <c r="AV14" s="1007">
        <f t="shared" si="4"/>
        <v>0</v>
      </c>
      <c r="AW14" s="1008"/>
      <c r="AY14" s="13"/>
      <c r="AZ14" s="423"/>
      <c r="BA14" s="423"/>
      <c r="BB14" s="423"/>
    </row>
    <row r="15" spans="1:57" s="6" customFormat="1" ht="21" customHeight="1">
      <c r="A15" s="1024" t="s">
        <v>230</v>
      </c>
      <c r="B15" s="1026"/>
      <c r="C15" s="1026"/>
      <c r="D15" s="1026"/>
      <c r="E15" s="1026"/>
      <c r="F15" s="1026"/>
      <c r="G15" s="1026"/>
      <c r="H15" s="1026"/>
      <c r="I15" s="1026"/>
      <c r="J15" s="1026"/>
      <c r="K15" s="1026"/>
      <c r="L15" s="1026"/>
      <c r="M15" s="1026"/>
      <c r="N15" s="1026"/>
      <c r="O15" s="1027"/>
      <c r="P15" s="1028">
        <f t="shared" si="0"/>
        <v>0</v>
      </c>
      <c r="Q15" s="1029" t="e">
        <f t="shared" si="1"/>
        <v>#DIV/0!</v>
      </c>
      <c r="R15" s="1030"/>
      <c r="S15" s="1026"/>
      <c r="T15" s="1026"/>
      <c r="U15" s="1027"/>
      <c r="V15" s="1031"/>
      <c r="W15" s="1027"/>
      <c r="X15" s="1031"/>
      <c r="Y15" s="1026"/>
      <c r="Z15" s="1026"/>
      <c r="AA15" s="1026"/>
      <c r="AB15" s="1026"/>
      <c r="AC15" s="1026"/>
      <c r="AD15" s="1026"/>
      <c r="AE15" s="1027"/>
      <c r="AF15" s="1032">
        <f t="shared" si="2"/>
        <v>0</v>
      </c>
      <c r="AG15" s="1030"/>
      <c r="AH15" s="1026"/>
      <c r="AI15" s="1026"/>
      <c r="AJ15" s="1026"/>
      <c r="AK15" s="1033"/>
      <c r="AL15" s="1030">
        <f t="shared" si="3"/>
        <v>0</v>
      </c>
      <c r="AM15" s="1028"/>
      <c r="AN15" s="1027"/>
      <c r="AO15" s="1034"/>
      <c r="AP15" s="1035"/>
      <c r="AQ15" s="1030"/>
      <c r="AR15" s="1026"/>
      <c r="AS15" s="1027"/>
      <c r="AT15" s="1036"/>
      <c r="AU15" s="1037"/>
      <c r="AV15" s="1038">
        <f t="shared" si="4"/>
        <v>0</v>
      </c>
      <c r="AW15" s="1039"/>
      <c r="AY15" s="422"/>
      <c r="AZ15" s="4"/>
      <c r="BA15" s="424"/>
      <c r="BB15" s="424"/>
      <c r="BC15" s="123"/>
      <c r="BD15" s="123"/>
      <c r="BE15" s="123"/>
    </row>
    <row r="16" spans="1:57" s="123" customFormat="1" ht="21" customHeight="1">
      <c r="A16" s="962" t="s">
        <v>231</v>
      </c>
      <c r="B16" s="1041"/>
      <c r="C16" s="1041"/>
      <c r="D16" s="1041"/>
      <c r="E16" s="1041"/>
      <c r="F16" s="1041"/>
      <c r="G16" s="1041"/>
      <c r="H16" s="1041"/>
      <c r="I16" s="1041"/>
      <c r="J16" s="1041"/>
      <c r="K16" s="1041"/>
      <c r="L16" s="1041"/>
      <c r="M16" s="1041"/>
      <c r="N16" s="1041"/>
      <c r="O16" s="1042"/>
      <c r="P16" s="1043">
        <f t="shared" si="0"/>
        <v>0</v>
      </c>
      <c r="Q16" s="1044" t="e">
        <f t="shared" si="1"/>
        <v>#DIV/0!</v>
      </c>
      <c r="R16" s="1045"/>
      <c r="S16" s="1041"/>
      <c r="T16" s="1041"/>
      <c r="U16" s="1042"/>
      <c r="V16" s="1046"/>
      <c r="W16" s="1042"/>
      <c r="X16" s="1046"/>
      <c r="Y16" s="1041"/>
      <c r="Z16" s="1041"/>
      <c r="AA16" s="1041"/>
      <c r="AB16" s="1041"/>
      <c r="AC16" s="1041"/>
      <c r="AD16" s="1041"/>
      <c r="AE16" s="1042"/>
      <c r="AF16" s="1047">
        <f t="shared" si="2"/>
        <v>0</v>
      </c>
      <c r="AG16" s="1045"/>
      <c r="AH16" s="1041"/>
      <c r="AI16" s="1041"/>
      <c r="AJ16" s="1041"/>
      <c r="AK16" s="1055"/>
      <c r="AL16" s="1045">
        <f t="shared" si="3"/>
        <v>0</v>
      </c>
      <c r="AM16" s="1043"/>
      <c r="AN16" s="1042"/>
      <c r="AO16" s="1049"/>
      <c r="AP16" s="1050"/>
      <c r="AQ16" s="1045"/>
      <c r="AR16" s="1041"/>
      <c r="AS16" s="1042"/>
      <c r="AT16" s="1051"/>
      <c r="AU16" s="1052"/>
      <c r="AV16" s="1053">
        <f t="shared" si="4"/>
        <v>0</v>
      </c>
      <c r="AW16" s="1054"/>
      <c r="AY16" s="422"/>
      <c r="AZ16" s="4"/>
      <c r="BA16" s="424"/>
      <c r="BB16" s="424"/>
    </row>
    <row r="17" spans="1:58" s="5" customFormat="1" ht="21" customHeight="1">
      <c r="A17" s="962" t="s">
        <v>232</v>
      </c>
      <c r="B17" s="1041"/>
      <c r="C17" s="1041"/>
      <c r="D17" s="1041"/>
      <c r="E17" s="1041"/>
      <c r="F17" s="1041"/>
      <c r="G17" s="1041"/>
      <c r="H17" s="1041"/>
      <c r="I17" s="1041"/>
      <c r="J17" s="1041"/>
      <c r="K17" s="1041"/>
      <c r="L17" s="1041"/>
      <c r="M17" s="1041"/>
      <c r="N17" s="1041"/>
      <c r="O17" s="1042"/>
      <c r="P17" s="1043">
        <f t="shared" si="0"/>
        <v>0</v>
      </c>
      <c r="Q17" s="1044" t="e">
        <f t="shared" si="1"/>
        <v>#DIV/0!</v>
      </c>
      <c r="R17" s="1045"/>
      <c r="S17" s="1041"/>
      <c r="T17" s="1041"/>
      <c r="U17" s="1042"/>
      <c r="V17" s="1046"/>
      <c r="W17" s="1042"/>
      <c r="X17" s="1046"/>
      <c r="Y17" s="1041"/>
      <c r="Z17" s="1041"/>
      <c r="AA17" s="1041"/>
      <c r="AB17" s="1041"/>
      <c r="AC17" s="1041"/>
      <c r="AD17" s="1041"/>
      <c r="AE17" s="1042"/>
      <c r="AF17" s="1047">
        <f t="shared" si="2"/>
        <v>0</v>
      </c>
      <c r="AG17" s="1045"/>
      <c r="AH17" s="1041"/>
      <c r="AI17" s="1041"/>
      <c r="AJ17" s="1041"/>
      <c r="AK17" s="1055"/>
      <c r="AL17" s="1045">
        <f t="shared" si="3"/>
        <v>0</v>
      </c>
      <c r="AM17" s="1043"/>
      <c r="AN17" s="1042"/>
      <c r="AO17" s="1049"/>
      <c r="AP17" s="1050"/>
      <c r="AQ17" s="1045"/>
      <c r="AR17" s="1041"/>
      <c r="AS17" s="1042"/>
      <c r="AT17" s="1051"/>
      <c r="AU17" s="1052"/>
      <c r="AV17" s="1053">
        <f t="shared" si="4"/>
        <v>0</v>
      </c>
      <c r="AW17" s="1054"/>
      <c r="AY17" s="421"/>
      <c r="AZ17" s="4"/>
      <c r="BA17" s="421"/>
      <c r="BB17" s="421"/>
      <c r="BC17" s="123"/>
    </row>
    <row r="18" spans="1:58" s="4" customFormat="1" ht="21" customHeight="1">
      <c r="A18" s="962" t="s">
        <v>233</v>
      </c>
      <c r="B18" s="1041"/>
      <c r="C18" s="1041"/>
      <c r="D18" s="1041"/>
      <c r="E18" s="1041"/>
      <c r="F18" s="1041"/>
      <c r="G18" s="1041"/>
      <c r="H18" s="1041"/>
      <c r="I18" s="1041"/>
      <c r="J18" s="1041"/>
      <c r="K18" s="1041"/>
      <c r="L18" s="1041"/>
      <c r="M18" s="1041"/>
      <c r="N18" s="1041"/>
      <c r="O18" s="1042"/>
      <c r="P18" s="1043">
        <f t="shared" si="0"/>
        <v>0</v>
      </c>
      <c r="Q18" s="1044" t="e">
        <f t="shared" si="1"/>
        <v>#DIV/0!</v>
      </c>
      <c r="R18" s="1045"/>
      <c r="S18" s="1041"/>
      <c r="T18" s="1041"/>
      <c r="U18" s="1042"/>
      <c r="V18" s="1046"/>
      <c r="W18" s="1042"/>
      <c r="X18" s="1046"/>
      <c r="Y18" s="1041"/>
      <c r="Z18" s="1041"/>
      <c r="AA18" s="1041"/>
      <c r="AB18" s="1041"/>
      <c r="AC18" s="1041"/>
      <c r="AD18" s="1041"/>
      <c r="AE18" s="1042"/>
      <c r="AF18" s="1047">
        <f t="shared" si="2"/>
        <v>0</v>
      </c>
      <c r="AG18" s="1045"/>
      <c r="AH18" s="1041"/>
      <c r="AI18" s="1041"/>
      <c r="AJ18" s="1041"/>
      <c r="AK18" s="1055"/>
      <c r="AL18" s="1045">
        <f t="shared" si="3"/>
        <v>0</v>
      </c>
      <c r="AM18" s="1043"/>
      <c r="AN18" s="1042"/>
      <c r="AO18" s="1049"/>
      <c r="AP18" s="1050"/>
      <c r="AQ18" s="1045"/>
      <c r="AR18" s="1041"/>
      <c r="AS18" s="1042"/>
      <c r="AT18" s="1051"/>
      <c r="AU18" s="1052"/>
      <c r="AV18" s="1053">
        <f t="shared" si="4"/>
        <v>0</v>
      </c>
      <c r="AW18" s="1054"/>
      <c r="AY18" s="421"/>
      <c r="AZ18" s="424"/>
      <c r="BA18" s="423"/>
      <c r="BB18" s="423"/>
      <c r="BC18" s="123"/>
      <c r="BD18" s="123"/>
    </row>
    <row r="19" spans="1:58" s="5" customFormat="1" ht="21" customHeight="1">
      <c r="A19" s="962" t="s">
        <v>234</v>
      </c>
      <c r="B19" s="1057"/>
      <c r="C19" s="1057"/>
      <c r="D19" s="1057"/>
      <c r="E19" s="1071"/>
      <c r="F19" s="1071"/>
      <c r="G19" s="1071"/>
      <c r="H19" s="1071"/>
      <c r="I19" s="1071"/>
      <c r="J19" s="1071"/>
      <c r="K19" s="1071"/>
      <c r="L19" s="1071"/>
      <c r="M19" s="1071"/>
      <c r="N19" s="1071"/>
      <c r="O19" s="1072"/>
      <c r="P19" s="1059">
        <f t="shared" si="0"/>
        <v>0</v>
      </c>
      <c r="Q19" s="1060" t="e">
        <f t="shared" si="1"/>
        <v>#DIV/0!</v>
      </c>
      <c r="R19" s="1073"/>
      <c r="S19" s="1057"/>
      <c r="T19" s="1057"/>
      <c r="U19" s="1058"/>
      <c r="V19" s="1062"/>
      <c r="W19" s="1058"/>
      <c r="X19" s="1062"/>
      <c r="Y19" s="1057"/>
      <c r="Z19" s="1057"/>
      <c r="AA19" s="1057"/>
      <c r="AB19" s="1057"/>
      <c r="AC19" s="1057"/>
      <c r="AD19" s="1057"/>
      <c r="AE19" s="1058"/>
      <c r="AF19" s="1063">
        <f t="shared" si="2"/>
        <v>0</v>
      </c>
      <c r="AG19" s="1061"/>
      <c r="AH19" s="1057"/>
      <c r="AI19" s="1057"/>
      <c r="AJ19" s="1057"/>
      <c r="AK19" s="1064"/>
      <c r="AL19" s="1061">
        <f t="shared" si="3"/>
        <v>0</v>
      </c>
      <c r="AM19" s="1059"/>
      <c r="AN19" s="1058"/>
      <c r="AO19" s="1065"/>
      <c r="AP19" s="1066"/>
      <c r="AQ19" s="1061"/>
      <c r="AR19" s="1057"/>
      <c r="AS19" s="1058"/>
      <c r="AT19" s="1067"/>
      <c r="AU19" s="1068"/>
      <c r="AV19" s="1069">
        <f t="shared" si="4"/>
        <v>0</v>
      </c>
      <c r="AW19" s="1070"/>
      <c r="AY19" s="421"/>
      <c r="AZ19" s="424"/>
      <c r="BA19" s="421"/>
      <c r="BB19" s="421"/>
    </row>
    <row r="20" spans="1:58" s="4" customFormat="1" ht="21" customHeight="1">
      <c r="A20" s="962" t="s">
        <v>235</v>
      </c>
      <c r="B20" s="980"/>
      <c r="C20" s="980"/>
      <c r="D20" s="980"/>
      <c r="E20" s="980"/>
      <c r="F20" s="980"/>
      <c r="G20" s="980"/>
      <c r="H20" s="980"/>
      <c r="I20" s="980"/>
      <c r="J20" s="980"/>
      <c r="K20" s="980"/>
      <c r="L20" s="980"/>
      <c r="M20" s="980"/>
      <c r="N20" s="980"/>
      <c r="O20" s="981"/>
      <c r="P20" s="982">
        <f t="shared" si="0"/>
        <v>0</v>
      </c>
      <c r="Q20" s="983" t="e">
        <f t="shared" si="1"/>
        <v>#DIV/0!</v>
      </c>
      <c r="R20" s="984"/>
      <c r="S20" s="980"/>
      <c r="T20" s="980"/>
      <c r="U20" s="981"/>
      <c r="V20" s="985"/>
      <c r="W20" s="981"/>
      <c r="X20" s="985"/>
      <c r="Y20" s="980"/>
      <c r="Z20" s="980"/>
      <c r="AA20" s="980"/>
      <c r="AB20" s="980"/>
      <c r="AC20" s="980"/>
      <c r="AD20" s="980"/>
      <c r="AE20" s="981"/>
      <c r="AF20" s="986">
        <f t="shared" si="2"/>
        <v>0</v>
      </c>
      <c r="AG20" s="984"/>
      <c r="AH20" s="980"/>
      <c r="AI20" s="980"/>
      <c r="AJ20" s="980"/>
      <c r="AK20" s="987"/>
      <c r="AL20" s="984">
        <f t="shared" si="3"/>
        <v>0</v>
      </c>
      <c r="AM20" s="982"/>
      <c r="AN20" s="981"/>
      <c r="AO20" s="988"/>
      <c r="AP20" s="989"/>
      <c r="AQ20" s="984"/>
      <c r="AR20" s="980"/>
      <c r="AS20" s="981"/>
      <c r="AT20" s="990"/>
      <c r="AU20" s="991"/>
      <c r="AV20" s="992">
        <f t="shared" si="4"/>
        <v>0</v>
      </c>
      <c r="AW20" s="993"/>
      <c r="AZ20" s="123"/>
      <c r="BA20" s="423"/>
      <c r="BB20" s="423"/>
    </row>
    <row r="21" spans="1:58" s="4" customFormat="1" ht="21" customHeight="1">
      <c r="A21" s="994" t="s">
        <v>236</v>
      </c>
      <c r="B21" s="995"/>
      <c r="C21" s="995"/>
      <c r="D21" s="995"/>
      <c r="E21" s="995"/>
      <c r="F21" s="995"/>
      <c r="G21" s="995"/>
      <c r="H21" s="995"/>
      <c r="I21" s="995"/>
      <c r="J21" s="995"/>
      <c r="K21" s="995"/>
      <c r="L21" s="995"/>
      <c r="M21" s="995"/>
      <c r="N21" s="995"/>
      <c r="O21" s="996"/>
      <c r="P21" s="997">
        <f t="shared" si="0"/>
        <v>0</v>
      </c>
      <c r="Q21" s="998" t="e">
        <f t="shared" si="1"/>
        <v>#DIV/0!</v>
      </c>
      <c r="R21" s="999"/>
      <c r="S21" s="995"/>
      <c r="T21" s="995"/>
      <c r="U21" s="996"/>
      <c r="V21" s="1000"/>
      <c r="W21" s="996"/>
      <c r="X21" s="1000"/>
      <c r="Y21" s="995"/>
      <c r="Z21" s="995"/>
      <c r="AA21" s="995"/>
      <c r="AB21" s="995"/>
      <c r="AC21" s="995"/>
      <c r="AD21" s="995"/>
      <c r="AE21" s="996"/>
      <c r="AF21" s="1001">
        <f t="shared" si="2"/>
        <v>0</v>
      </c>
      <c r="AG21" s="999"/>
      <c r="AH21" s="995"/>
      <c r="AI21" s="995"/>
      <c r="AJ21" s="995"/>
      <c r="AK21" s="1074"/>
      <c r="AL21" s="999">
        <f t="shared" si="3"/>
        <v>0</v>
      </c>
      <c r="AM21" s="997"/>
      <c r="AN21" s="996"/>
      <c r="AO21" s="1003"/>
      <c r="AP21" s="1004"/>
      <c r="AQ21" s="999"/>
      <c r="AR21" s="995"/>
      <c r="AS21" s="996"/>
      <c r="AT21" s="1005"/>
      <c r="AU21" s="1006"/>
      <c r="AV21" s="1007">
        <f t="shared" si="4"/>
        <v>0</v>
      </c>
      <c r="AW21" s="1008"/>
      <c r="AY21" s="422"/>
      <c r="AZ21" s="421"/>
      <c r="BA21" s="423"/>
      <c r="BB21" s="423"/>
      <c r="BC21" s="123"/>
      <c r="BD21" s="123"/>
    </row>
    <row r="22" spans="1:58" s="6" customFormat="1" ht="21" customHeight="1">
      <c r="A22" s="1024" t="s">
        <v>237</v>
      </c>
      <c r="B22" s="1026"/>
      <c r="C22" s="1026"/>
      <c r="D22" s="1026"/>
      <c r="E22" s="1076"/>
      <c r="F22" s="1026"/>
      <c r="G22" s="1026"/>
      <c r="H22" s="1026"/>
      <c r="I22" s="1026"/>
      <c r="J22" s="1026"/>
      <c r="K22" s="1026"/>
      <c r="L22" s="1026"/>
      <c r="M22" s="1026"/>
      <c r="N22" s="1026"/>
      <c r="O22" s="1027"/>
      <c r="P22" s="1028">
        <f t="shared" si="0"/>
        <v>0</v>
      </c>
      <c r="Q22" s="1029" t="e">
        <f t="shared" si="1"/>
        <v>#DIV/0!</v>
      </c>
      <c r="R22" s="1030"/>
      <c r="S22" s="1026"/>
      <c r="T22" s="1026"/>
      <c r="U22" s="1027"/>
      <c r="V22" s="1031"/>
      <c r="W22" s="1027"/>
      <c r="X22" s="1031"/>
      <c r="Y22" s="1026"/>
      <c r="Z22" s="1026"/>
      <c r="AA22" s="1026"/>
      <c r="AB22" s="1026"/>
      <c r="AC22" s="1026"/>
      <c r="AD22" s="1026"/>
      <c r="AE22" s="1027"/>
      <c r="AF22" s="1032">
        <f t="shared" si="2"/>
        <v>0</v>
      </c>
      <c r="AG22" s="1030"/>
      <c r="AH22" s="1026"/>
      <c r="AI22" s="1026"/>
      <c r="AJ22" s="1026"/>
      <c r="AK22" s="1033"/>
      <c r="AL22" s="1030">
        <f t="shared" si="3"/>
        <v>0</v>
      </c>
      <c r="AM22" s="1028"/>
      <c r="AN22" s="1027"/>
      <c r="AO22" s="1034"/>
      <c r="AP22" s="1035"/>
      <c r="AQ22" s="1030"/>
      <c r="AR22" s="1026"/>
      <c r="AS22" s="1027"/>
      <c r="AT22" s="1036"/>
      <c r="AU22" s="1037"/>
      <c r="AV22" s="1038">
        <f t="shared" si="4"/>
        <v>0</v>
      </c>
      <c r="AW22" s="1039"/>
      <c r="AX22" s="4"/>
      <c r="AY22" s="13"/>
      <c r="AZ22" s="425"/>
      <c r="BA22" s="425"/>
      <c r="BB22" s="425"/>
      <c r="BC22" s="123"/>
      <c r="BD22" s="123"/>
      <c r="BE22" s="4"/>
    </row>
    <row r="23" spans="1:58" s="123" customFormat="1" ht="21" customHeight="1">
      <c r="A23" s="962" t="s">
        <v>238</v>
      </c>
      <c r="B23" s="1041"/>
      <c r="C23" s="1041"/>
      <c r="D23" s="1041"/>
      <c r="E23" s="1041"/>
      <c r="F23" s="1041"/>
      <c r="G23" s="1041"/>
      <c r="H23" s="1041"/>
      <c r="I23" s="1041"/>
      <c r="J23" s="1041"/>
      <c r="K23" s="1041"/>
      <c r="L23" s="1041"/>
      <c r="M23" s="1041"/>
      <c r="N23" s="1041"/>
      <c r="O23" s="1042"/>
      <c r="P23" s="1043">
        <f t="shared" si="0"/>
        <v>0</v>
      </c>
      <c r="Q23" s="1044" t="e">
        <f t="shared" si="1"/>
        <v>#DIV/0!</v>
      </c>
      <c r="R23" s="1045"/>
      <c r="S23" s="1041"/>
      <c r="T23" s="1041"/>
      <c r="U23" s="1042"/>
      <c r="V23" s="1046"/>
      <c r="W23" s="1042"/>
      <c r="X23" s="1046"/>
      <c r="Y23" s="1041"/>
      <c r="Z23" s="1041"/>
      <c r="AA23" s="1041"/>
      <c r="AB23" s="1041"/>
      <c r="AC23" s="1041"/>
      <c r="AD23" s="1041"/>
      <c r="AE23" s="1042"/>
      <c r="AF23" s="1047">
        <f t="shared" si="2"/>
        <v>0</v>
      </c>
      <c r="AG23" s="1045"/>
      <c r="AH23" s="1041"/>
      <c r="AI23" s="1041"/>
      <c r="AJ23" s="1041"/>
      <c r="AK23" s="1055"/>
      <c r="AL23" s="1045">
        <f t="shared" si="3"/>
        <v>0</v>
      </c>
      <c r="AM23" s="1043"/>
      <c r="AN23" s="1042"/>
      <c r="AO23" s="1049"/>
      <c r="AP23" s="1050"/>
      <c r="AQ23" s="1045"/>
      <c r="AR23" s="1041"/>
      <c r="AS23" s="1042"/>
      <c r="AT23" s="1051"/>
      <c r="AU23" s="1052"/>
      <c r="AV23" s="1053">
        <f t="shared" si="4"/>
        <v>0</v>
      </c>
      <c r="AW23" s="1054"/>
      <c r="AY23" s="13"/>
      <c r="AZ23" s="421"/>
      <c r="BA23" s="424"/>
      <c r="BB23" s="424"/>
      <c r="BE23" s="4"/>
    </row>
    <row r="24" spans="1:58" s="5" customFormat="1" ht="21" customHeight="1">
      <c r="A24" s="962" t="s">
        <v>239</v>
      </c>
      <c r="B24" s="1041"/>
      <c r="C24" s="1041"/>
      <c r="D24" s="1041"/>
      <c r="E24" s="1041"/>
      <c r="F24" s="1041"/>
      <c r="G24" s="1041"/>
      <c r="H24" s="1041"/>
      <c r="I24" s="1041"/>
      <c r="J24" s="1041"/>
      <c r="K24" s="1041"/>
      <c r="L24" s="1041"/>
      <c r="M24" s="1041"/>
      <c r="N24" s="1041"/>
      <c r="O24" s="1042"/>
      <c r="P24" s="1043">
        <f t="shared" si="0"/>
        <v>0</v>
      </c>
      <c r="Q24" s="1044" t="e">
        <f t="shared" si="1"/>
        <v>#DIV/0!</v>
      </c>
      <c r="R24" s="1045"/>
      <c r="S24" s="1041"/>
      <c r="T24" s="1041"/>
      <c r="U24" s="1042"/>
      <c r="V24" s="1046"/>
      <c r="W24" s="1042"/>
      <c r="X24" s="1046"/>
      <c r="Y24" s="1041"/>
      <c r="Z24" s="1041"/>
      <c r="AA24" s="1041"/>
      <c r="AB24" s="1041"/>
      <c r="AC24" s="1041"/>
      <c r="AD24" s="1041"/>
      <c r="AE24" s="1042"/>
      <c r="AF24" s="1047">
        <f t="shared" si="2"/>
        <v>0</v>
      </c>
      <c r="AG24" s="1045"/>
      <c r="AH24" s="1041"/>
      <c r="AI24" s="1041"/>
      <c r="AJ24" s="1041"/>
      <c r="AK24" s="1055"/>
      <c r="AL24" s="1045">
        <f t="shared" si="3"/>
        <v>0</v>
      </c>
      <c r="AM24" s="1043"/>
      <c r="AN24" s="1042"/>
      <c r="AO24" s="1049"/>
      <c r="AP24" s="1050"/>
      <c r="AQ24" s="1045"/>
      <c r="AR24" s="1041"/>
      <c r="AS24" s="1042"/>
      <c r="AT24" s="1051"/>
      <c r="AU24" s="1052"/>
      <c r="AV24" s="1053">
        <f t="shared" si="4"/>
        <v>0</v>
      </c>
      <c r="AW24" s="1054"/>
      <c r="AY24" s="422"/>
      <c r="AZ24" s="420"/>
      <c r="BA24" s="426"/>
      <c r="BB24" s="421"/>
      <c r="BD24" s="123"/>
    </row>
    <row r="25" spans="1:58" s="4" customFormat="1" ht="21" customHeight="1">
      <c r="A25" s="962" t="s">
        <v>240</v>
      </c>
      <c r="B25" s="1041"/>
      <c r="C25" s="1041"/>
      <c r="D25" s="1041"/>
      <c r="E25" s="1041"/>
      <c r="F25" s="1041"/>
      <c r="G25" s="1041">
        <v>2</v>
      </c>
      <c r="H25" s="1041"/>
      <c r="I25" s="1041"/>
      <c r="J25" s="1041"/>
      <c r="K25" s="1041"/>
      <c r="L25" s="1041"/>
      <c r="M25" s="1041"/>
      <c r="N25" s="1041"/>
      <c r="O25" s="1042"/>
      <c r="P25" s="1043">
        <f t="shared" si="0"/>
        <v>2</v>
      </c>
      <c r="Q25" s="1044">
        <f t="shared" si="1"/>
        <v>1</v>
      </c>
      <c r="R25" s="1045"/>
      <c r="S25" s="1041"/>
      <c r="T25" s="1041"/>
      <c r="U25" s="1042"/>
      <c r="V25" s="1046"/>
      <c r="W25" s="1042"/>
      <c r="X25" s="1046"/>
      <c r="Y25" s="1041"/>
      <c r="Z25" s="1041"/>
      <c r="AA25" s="1041"/>
      <c r="AB25" s="1041"/>
      <c r="AC25" s="1041"/>
      <c r="AD25" s="1041"/>
      <c r="AE25" s="1042"/>
      <c r="AF25" s="1047">
        <f t="shared" si="2"/>
        <v>0</v>
      </c>
      <c r="AG25" s="1045"/>
      <c r="AH25" s="1041"/>
      <c r="AI25" s="1041"/>
      <c r="AJ25" s="1041"/>
      <c r="AK25" s="1055"/>
      <c r="AL25" s="1045">
        <f t="shared" si="3"/>
        <v>0</v>
      </c>
      <c r="AM25" s="1043"/>
      <c r="AN25" s="1042"/>
      <c r="AO25" s="1049"/>
      <c r="AP25" s="1050"/>
      <c r="AQ25" s="1045"/>
      <c r="AR25" s="1041"/>
      <c r="AS25" s="1042"/>
      <c r="AT25" s="1051"/>
      <c r="AU25" s="1052"/>
      <c r="AV25" s="1053">
        <f t="shared" si="4"/>
        <v>2</v>
      </c>
      <c r="AW25" s="1054"/>
      <c r="AY25" s="13"/>
      <c r="AZ25" s="13"/>
      <c r="BA25" s="427"/>
      <c r="BB25" s="423"/>
      <c r="BD25" s="123"/>
    </row>
    <row r="26" spans="1:58" s="5" customFormat="1" ht="21" customHeight="1">
      <c r="A26" s="962" t="s">
        <v>241</v>
      </c>
      <c r="B26" s="1057"/>
      <c r="C26" s="1057"/>
      <c r="D26" s="1057"/>
      <c r="E26" s="1057"/>
      <c r="F26" s="1057"/>
      <c r="G26" s="1057"/>
      <c r="H26" s="1057"/>
      <c r="I26" s="1057"/>
      <c r="J26" s="1057"/>
      <c r="K26" s="1057"/>
      <c r="L26" s="1057"/>
      <c r="M26" s="1057"/>
      <c r="N26" s="1057"/>
      <c r="O26" s="1058"/>
      <c r="P26" s="1059">
        <f t="shared" si="0"/>
        <v>0</v>
      </c>
      <c r="Q26" s="1060" t="e">
        <f t="shared" si="1"/>
        <v>#DIV/0!</v>
      </c>
      <c r="R26" s="1061"/>
      <c r="S26" s="1057"/>
      <c r="T26" s="1057"/>
      <c r="U26" s="1058"/>
      <c r="V26" s="1062"/>
      <c r="W26" s="1058"/>
      <c r="X26" s="1062"/>
      <c r="Y26" s="1057"/>
      <c r="Z26" s="1057"/>
      <c r="AA26" s="1057"/>
      <c r="AB26" s="1057"/>
      <c r="AC26" s="1057"/>
      <c r="AD26" s="1057"/>
      <c r="AE26" s="1058"/>
      <c r="AF26" s="1063">
        <f t="shared" si="2"/>
        <v>0</v>
      </c>
      <c r="AG26" s="1061"/>
      <c r="AH26" s="1057"/>
      <c r="AI26" s="1057"/>
      <c r="AJ26" s="1057"/>
      <c r="AK26" s="1064"/>
      <c r="AL26" s="1061">
        <f t="shared" si="3"/>
        <v>0</v>
      </c>
      <c r="AM26" s="1059"/>
      <c r="AN26" s="1058"/>
      <c r="AO26" s="1065"/>
      <c r="AP26" s="1066"/>
      <c r="AQ26" s="1061"/>
      <c r="AR26" s="1057"/>
      <c r="AS26" s="1058"/>
      <c r="AT26" s="1067"/>
      <c r="AU26" s="1068"/>
      <c r="AV26" s="1069">
        <f t="shared" si="4"/>
        <v>0</v>
      </c>
      <c r="AW26" s="1070"/>
      <c r="AY26" s="13"/>
      <c r="AZ26" s="421"/>
      <c r="BA26" s="428"/>
      <c r="BB26" s="429"/>
      <c r="BC26" s="430"/>
      <c r="BE26" s="430"/>
    </row>
    <row r="27" spans="1:58" s="4" customFormat="1" ht="21" customHeight="1">
      <c r="A27" s="962" t="s">
        <v>242</v>
      </c>
      <c r="B27" s="980"/>
      <c r="C27" s="980"/>
      <c r="D27" s="980"/>
      <c r="E27" s="980"/>
      <c r="F27" s="980"/>
      <c r="G27" s="980"/>
      <c r="H27" s="980">
        <v>2</v>
      </c>
      <c r="I27" s="980"/>
      <c r="J27" s="980"/>
      <c r="K27" s="980"/>
      <c r="L27" s="980"/>
      <c r="M27" s="980"/>
      <c r="N27" s="980"/>
      <c r="O27" s="981"/>
      <c r="P27" s="982">
        <f t="shared" si="0"/>
        <v>2</v>
      </c>
      <c r="Q27" s="983">
        <f t="shared" si="1"/>
        <v>1</v>
      </c>
      <c r="R27" s="984"/>
      <c r="S27" s="980"/>
      <c r="T27" s="980"/>
      <c r="U27" s="981"/>
      <c r="V27" s="985"/>
      <c r="W27" s="981"/>
      <c r="X27" s="985"/>
      <c r="Y27" s="980"/>
      <c r="Z27" s="980"/>
      <c r="AA27" s="980"/>
      <c r="AB27" s="980"/>
      <c r="AC27" s="980"/>
      <c r="AD27" s="980"/>
      <c r="AE27" s="981"/>
      <c r="AF27" s="986">
        <f t="shared" si="2"/>
        <v>0</v>
      </c>
      <c r="AG27" s="984"/>
      <c r="AH27" s="980"/>
      <c r="AI27" s="980"/>
      <c r="AJ27" s="980"/>
      <c r="AK27" s="987"/>
      <c r="AL27" s="984">
        <f t="shared" si="3"/>
        <v>0</v>
      </c>
      <c r="AM27" s="982"/>
      <c r="AN27" s="981"/>
      <c r="AO27" s="988"/>
      <c r="AP27" s="989"/>
      <c r="AQ27" s="984"/>
      <c r="AR27" s="980"/>
      <c r="AS27" s="981"/>
      <c r="AT27" s="990"/>
      <c r="AU27" s="991"/>
      <c r="AV27" s="992">
        <f t="shared" si="4"/>
        <v>2</v>
      </c>
      <c r="AW27" s="993"/>
      <c r="AY27" s="422"/>
      <c r="AZ27" s="422"/>
      <c r="BA27" s="427"/>
      <c r="BB27" s="431"/>
      <c r="BC27" s="432"/>
      <c r="BE27" s="432"/>
      <c r="BF27" s="433"/>
    </row>
    <row r="28" spans="1:58" s="4" customFormat="1" ht="21" customHeight="1">
      <c r="A28" s="994" t="s">
        <v>243</v>
      </c>
      <c r="B28" s="995"/>
      <c r="C28" s="995"/>
      <c r="D28" s="995"/>
      <c r="E28" s="995"/>
      <c r="F28" s="995"/>
      <c r="G28" s="995"/>
      <c r="H28" s="995"/>
      <c r="I28" s="995"/>
      <c r="J28" s="995"/>
      <c r="K28" s="995"/>
      <c r="L28" s="995"/>
      <c r="M28" s="995"/>
      <c r="N28" s="995"/>
      <c r="O28" s="996"/>
      <c r="P28" s="997">
        <f t="shared" si="0"/>
        <v>0</v>
      </c>
      <c r="Q28" s="998" t="e">
        <f t="shared" si="1"/>
        <v>#DIV/0!</v>
      </c>
      <c r="R28" s="999"/>
      <c r="S28" s="995"/>
      <c r="T28" s="995"/>
      <c r="U28" s="996"/>
      <c r="V28" s="1000"/>
      <c r="W28" s="996"/>
      <c r="X28" s="1000"/>
      <c r="Y28" s="995"/>
      <c r="Z28" s="995"/>
      <c r="AA28" s="995"/>
      <c r="AB28" s="995"/>
      <c r="AC28" s="995"/>
      <c r="AD28" s="995"/>
      <c r="AE28" s="996"/>
      <c r="AF28" s="1001">
        <f t="shared" si="2"/>
        <v>0</v>
      </c>
      <c r="AG28" s="999"/>
      <c r="AH28" s="995"/>
      <c r="AI28" s="995"/>
      <c r="AJ28" s="995"/>
      <c r="AK28" s="1002"/>
      <c r="AL28" s="999">
        <f t="shared" si="3"/>
        <v>0</v>
      </c>
      <c r="AM28" s="997"/>
      <c r="AN28" s="996"/>
      <c r="AO28" s="1003"/>
      <c r="AP28" s="1004"/>
      <c r="AQ28" s="999"/>
      <c r="AR28" s="995"/>
      <c r="AS28" s="996"/>
      <c r="AT28" s="1005"/>
      <c r="AU28" s="1006"/>
      <c r="AV28" s="1007">
        <f t="shared" si="4"/>
        <v>0</v>
      </c>
      <c r="AW28" s="1008"/>
      <c r="AY28" s="420"/>
      <c r="AZ28" s="420"/>
      <c r="BA28" s="434"/>
      <c r="BB28" s="431"/>
      <c r="BC28" s="432"/>
      <c r="BD28" s="123"/>
      <c r="BE28" s="432"/>
      <c r="BF28" s="433"/>
    </row>
    <row r="29" spans="1:58" s="6" customFormat="1" ht="21" customHeight="1">
      <c r="A29" s="1024" t="s">
        <v>244</v>
      </c>
      <c r="B29" s="1026"/>
      <c r="C29" s="1026"/>
      <c r="D29" s="1026"/>
      <c r="E29" s="1026"/>
      <c r="F29" s="1026"/>
      <c r="G29" s="1026"/>
      <c r="H29" s="1026">
        <v>2</v>
      </c>
      <c r="I29" s="1026"/>
      <c r="J29" s="1026"/>
      <c r="K29" s="1026"/>
      <c r="L29" s="1026"/>
      <c r="M29" s="1026"/>
      <c r="N29" s="1026"/>
      <c r="O29" s="1027"/>
      <c r="P29" s="1028">
        <f t="shared" si="0"/>
        <v>2</v>
      </c>
      <c r="Q29" s="1029">
        <f t="shared" si="1"/>
        <v>1</v>
      </c>
      <c r="R29" s="1030"/>
      <c r="S29" s="1026"/>
      <c r="T29" s="1026"/>
      <c r="U29" s="1027"/>
      <c r="V29" s="1031"/>
      <c r="W29" s="1027"/>
      <c r="X29" s="1031"/>
      <c r="Y29" s="1026"/>
      <c r="Z29" s="1026"/>
      <c r="AA29" s="1026"/>
      <c r="AB29" s="1026"/>
      <c r="AC29" s="1026"/>
      <c r="AD29" s="1026"/>
      <c r="AE29" s="1027"/>
      <c r="AF29" s="1032">
        <f t="shared" si="2"/>
        <v>0</v>
      </c>
      <c r="AG29" s="1030"/>
      <c r="AH29" s="1026"/>
      <c r="AI29" s="1026"/>
      <c r="AJ29" s="1026"/>
      <c r="AK29" s="1033"/>
      <c r="AL29" s="1030">
        <f t="shared" si="3"/>
        <v>0</v>
      </c>
      <c r="AM29" s="1028"/>
      <c r="AN29" s="1027"/>
      <c r="AO29" s="1034"/>
      <c r="AP29" s="1035"/>
      <c r="AQ29" s="1030"/>
      <c r="AR29" s="1026"/>
      <c r="AS29" s="1027"/>
      <c r="AT29" s="1036"/>
      <c r="AU29" s="1037"/>
      <c r="AV29" s="1038">
        <f t="shared" si="4"/>
        <v>2</v>
      </c>
      <c r="AW29" s="1039"/>
      <c r="AY29" s="13"/>
      <c r="AZ29" s="426"/>
      <c r="BA29" s="435"/>
      <c r="BB29" s="436"/>
      <c r="BC29" s="437"/>
      <c r="BD29" s="123"/>
      <c r="BE29" s="437"/>
      <c r="BF29" s="438"/>
    </row>
    <row r="30" spans="1:58" s="123" customFormat="1" ht="21" customHeight="1">
      <c r="A30" s="962" t="s">
        <v>245</v>
      </c>
      <c r="B30" s="1041"/>
      <c r="C30" s="1041"/>
      <c r="D30" s="1041"/>
      <c r="E30" s="1041"/>
      <c r="F30" s="1041"/>
      <c r="G30" s="1041"/>
      <c r="H30" s="1041"/>
      <c r="I30" s="1041"/>
      <c r="J30" s="1041"/>
      <c r="K30" s="1041"/>
      <c r="L30" s="1041">
        <v>2</v>
      </c>
      <c r="M30" s="1041"/>
      <c r="N30" s="1041"/>
      <c r="O30" s="1042"/>
      <c r="P30" s="1043">
        <f t="shared" ref="P30:P35" si="5">SUM(B30:O30)</f>
        <v>2</v>
      </c>
      <c r="Q30" s="1044">
        <f t="shared" si="1"/>
        <v>1</v>
      </c>
      <c r="R30" s="1045"/>
      <c r="S30" s="1041"/>
      <c r="T30" s="1041"/>
      <c r="U30" s="1042"/>
      <c r="V30" s="1046"/>
      <c r="W30" s="1042"/>
      <c r="X30" s="1046"/>
      <c r="Y30" s="1041"/>
      <c r="Z30" s="1041"/>
      <c r="AA30" s="1041"/>
      <c r="AB30" s="1041"/>
      <c r="AC30" s="1041"/>
      <c r="AD30" s="1041"/>
      <c r="AE30" s="1042"/>
      <c r="AF30" s="1047">
        <f t="shared" si="2"/>
        <v>0</v>
      </c>
      <c r="AG30" s="1045"/>
      <c r="AH30" s="1041"/>
      <c r="AI30" s="1041"/>
      <c r="AJ30" s="1041"/>
      <c r="AK30" s="1055"/>
      <c r="AL30" s="1045">
        <f t="shared" si="3"/>
        <v>0</v>
      </c>
      <c r="AM30" s="1043"/>
      <c r="AN30" s="1042"/>
      <c r="AO30" s="1049"/>
      <c r="AP30" s="1050"/>
      <c r="AQ30" s="1045"/>
      <c r="AR30" s="1041"/>
      <c r="AS30" s="1042"/>
      <c r="AT30" s="1051"/>
      <c r="AU30" s="1052"/>
      <c r="AV30" s="1053">
        <f t="shared" si="4"/>
        <v>2</v>
      </c>
      <c r="AW30" s="1077"/>
      <c r="AY30" s="420"/>
      <c r="AZ30" s="421"/>
      <c r="BA30" s="424"/>
      <c r="BB30" s="424"/>
    </row>
    <row r="31" spans="1:58" s="5" customFormat="1" ht="21" customHeight="1">
      <c r="A31" s="962" t="s">
        <v>246</v>
      </c>
      <c r="B31" s="1041"/>
      <c r="C31" s="1041"/>
      <c r="D31" s="1041"/>
      <c r="E31" s="1041"/>
      <c r="F31" s="1041"/>
      <c r="G31" s="1041"/>
      <c r="H31" s="1041"/>
      <c r="I31" s="1041"/>
      <c r="J31" s="1041"/>
      <c r="K31" s="1041"/>
      <c r="L31" s="1041"/>
      <c r="M31" s="1041"/>
      <c r="N31" s="1041"/>
      <c r="O31" s="1042"/>
      <c r="P31" s="1043">
        <f t="shared" si="5"/>
        <v>0</v>
      </c>
      <c r="Q31" s="1044" t="e">
        <f t="shared" si="1"/>
        <v>#DIV/0!</v>
      </c>
      <c r="R31" s="1045"/>
      <c r="S31" s="1041"/>
      <c r="T31" s="1041"/>
      <c r="U31" s="1042"/>
      <c r="V31" s="1046"/>
      <c r="W31" s="1042"/>
      <c r="X31" s="1046"/>
      <c r="Y31" s="1041"/>
      <c r="Z31" s="1041"/>
      <c r="AA31" s="1041"/>
      <c r="AB31" s="1041"/>
      <c r="AC31" s="1041"/>
      <c r="AD31" s="1041"/>
      <c r="AE31" s="1042"/>
      <c r="AF31" s="1047">
        <f t="shared" si="2"/>
        <v>0</v>
      </c>
      <c r="AG31" s="1045"/>
      <c r="AH31" s="1041"/>
      <c r="AI31" s="1041"/>
      <c r="AJ31" s="1041"/>
      <c r="AK31" s="1055"/>
      <c r="AL31" s="1045">
        <f t="shared" si="3"/>
        <v>0</v>
      </c>
      <c r="AM31" s="1043"/>
      <c r="AN31" s="1042"/>
      <c r="AO31" s="1049"/>
      <c r="AP31" s="1050"/>
      <c r="AQ31" s="1045"/>
      <c r="AR31" s="1041"/>
      <c r="AS31" s="1042"/>
      <c r="AT31" s="1051"/>
      <c r="AU31" s="1052"/>
      <c r="AV31" s="1053">
        <f t="shared" si="4"/>
        <v>0</v>
      </c>
      <c r="AW31" s="1078"/>
      <c r="AY31" s="422"/>
      <c r="BA31" s="426"/>
      <c r="BB31" s="426"/>
      <c r="BC31" s="345"/>
      <c r="BD31" s="123"/>
      <c r="BE31" s="345"/>
      <c r="BF31" s="345"/>
    </row>
    <row r="32" spans="1:58" s="4" customFormat="1" ht="21" customHeight="1">
      <c r="A32" s="962" t="s">
        <v>247</v>
      </c>
      <c r="B32" s="1041"/>
      <c r="C32" s="1041"/>
      <c r="D32" s="1041"/>
      <c r="E32" s="1041"/>
      <c r="F32" s="1041"/>
      <c r="G32" s="1041"/>
      <c r="H32" s="1041"/>
      <c r="I32" s="1041"/>
      <c r="J32" s="1041"/>
      <c r="K32" s="1041"/>
      <c r="L32" s="1041"/>
      <c r="M32" s="1041"/>
      <c r="N32" s="1041"/>
      <c r="O32" s="1042"/>
      <c r="P32" s="1043">
        <f t="shared" si="5"/>
        <v>0</v>
      </c>
      <c r="Q32" s="1044" t="e">
        <f t="shared" si="1"/>
        <v>#DIV/0!</v>
      </c>
      <c r="R32" s="1045"/>
      <c r="S32" s="1041"/>
      <c r="T32" s="1041"/>
      <c r="U32" s="1042"/>
      <c r="V32" s="1046"/>
      <c r="W32" s="1042"/>
      <c r="X32" s="1046"/>
      <c r="Y32" s="1041"/>
      <c r="Z32" s="1041"/>
      <c r="AA32" s="1041"/>
      <c r="AB32" s="1041"/>
      <c r="AC32" s="1041"/>
      <c r="AD32" s="1041"/>
      <c r="AE32" s="1042"/>
      <c r="AF32" s="1047">
        <f t="shared" si="2"/>
        <v>0</v>
      </c>
      <c r="AG32" s="1045"/>
      <c r="AH32" s="1041"/>
      <c r="AI32" s="1041"/>
      <c r="AJ32" s="1041"/>
      <c r="AK32" s="1055"/>
      <c r="AL32" s="1045">
        <f t="shared" si="3"/>
        <v>0</v>
      </c>
      <c r="AM32" s="1043"/>
      <c r="AN32" s="1042"/>
      <c r="AO32" s="1049"/>
      <c r="AP32" s="1050"/>
      <c r="AQ32" s="1045"/>
      <c r="AR32" s="1041"/>
      <c r="AS32" s="1042"/>
      <c r="AT32" s="1051"/>
      <c r="AU32" s="1052"/>
      <c r="AV32" s="1053">
        <f t="shared" si="4"/>
        <v>0</v>
      </c>
      <c r="AW32" s="1079"/>
      <c r="AY32" s="420"/>
      <c r="AZ32" s="422"/>
      <c r="BA32" s="423"/>
      <c r="BB32" s="423"/>
      <c r="BD32" s="123"/>
    </row>
    <row r="33" spans="1:58" s="5" customFormat="1" ht="21" customHeight="1">
      <c r="A33" s="962" t="s">
        <v>248</v>
      </c>
      <c r="B33" s="1057"/>
      <c r="C33" s="1057"/>
      <c r="D33" s="1057"/>
      <c r="E33" s="1071"/>
      <c r="F33" s="1071"/>
      <c r="G33" s="1071"/>
      <c r="H33" s="1071"/>
      <c r="I33" s="1071"/>
      <c r="J33" s="1071"/>
      <c r="K33" s="1071"/>
      <c r="L33" s="1071"/>
      <c r="M33" s="1071"/>
      <c r="N33" s="1071"/>
      <c r="O33" s="1072"/>
      <c r="P33" s="1059">
        <f t="shared" si="5"/>
        <v>0</v>
      </c>
      <c r="Q33" s="1060" t="e">
        <f t="shared" si="1"/>
        <v>#DIV/0!</v>
      </c>
      <c r="R33" s="1073"/>
      <c r="S33" s="1057"/>
      <c r="T33" s="1057"/>
      <c r="U33" s="1058"/>
      <c r="V33" s="1062"/>
      <c r="W33" s="1058"/>
      <c r="X33" s="1062"/>
      <c r="Y33" s="1057"/>
      <c r="Z33" s="1057"/>
      <c r="AA33" s="1057"/>
      <c r="AB33" s="1057"/>
      <c r="AC33" s="1057"/>
      <c r="AD33" s="1057"/>
      <c r="AE33" s="1058"/>
      <c r="AF33" s="1063">
        <f t="shared" si="2"/>
        <v>0</v>
      </c>
      <c r="AG33" s="1061"/>
      <c r="AH33" s="1057"/>
      <c r="AI33" s="1057"/>
      <c r="AJ33" s="1057"/>
      <c r="AK33" s="1064"/>
      <c r="AL33" s="1061">
        <f t="shared" si="3"/>
        <v>0</v>
      </c>
      <c r="AM33" s="1059"/>
      <c r="AN33" s="1058"/>
      <c r="AO33" s="1065"/>
      <c r="AP33" s="1066"/>
      <c r="AQ33" s="1061"/>
      <c r="AR33" s="1057"/>
      <c r="AS33" s="1058"/>
      <c r="AT33" s="1067"/>
      <c r="AU33" s="1068"/>
      <c r="AV33" s="1069">
        <f t="shared" si="4"/>
        <v>0</v>
      </c>
      <c r="AW33" s="1070"/>
      <c r="AY33" s="420"/>
      <c r="AZ33" s="420"/>
      <c r="BA33" s="421"/>
      <c r="BB33" s="421"/>
    </row>
    <row r="34" spans="1:58" s="4" customFormat="1" ht="21" customHeight="1">
      <c r="A34" s="962" t="s">
        <v>249</v>
      </c>
      <c r="B34" s="980"/>
      <c r="C34" s="980"/>
      <c r="D34" s="980"/>
      <c r="E34" s="980"/>
      <c r="F34" s="980"/>
      <c r="G34" s="980"/>
      <c r="H34" s="980"/>
      <c r="I34" s="980"/>
      <c r="J34" s="980"/>
      <c r="K34" s="980"/>
      <c r="L34" s="980"/>
      <c r="M34" s="980"/>
      <c r="N34" s="980"/>
      <c r="O34" s="981"/>
      <c r="P34" s="982">
        <f t="shared" si="5"/>
        <v>0</v>
      </c>
      <c r="Q34" s="983" t="e">
        <f t="shared" si="1"/>
        <v>#DIV/0!</v>
      </c>
      <c r="R34" s="984"/>
      <c r="S34" s="980"/>
      <c r="T34" s="980"/>
      <c r="U34" s="981"/>
      <c r="V34" s="985"/>
      <c r="W34" s="981"/>
      <c r="X34" s="985"/>
      <c r="Y34" s="980"/>
      <c r="Z34" s="980"/>
      <c r="AA34" s="980"/>
      <c r="AB34" s="980"/>
      <c r="AC34" s="980"/>
      <c r="AD34" s="980"/>
      <c r="AE34" s="981"/>
      <c r="AF34" s="986">
        <f t="shared" si="2"/>
        <v>0</v>
      </c>
      <c r="AG34" s="984"/>
      <c r="AH34" s="980"/>
      <c r="AI34" s="980"/>
      <c r="AJ34" s="980"/>
      <c r="AK34" s="987"/>
      <c r="AL34" s="984">
        <f t="shared" si="3"/>
        <v>0</v>
      </c>
      <c r="AM34" s="982"/>
      <c r="AN34" s="981"/>
      <c r="AO34" s="988"/>
      <c r="AP34" s="989"/>
      <c r="AQ34" s="984"/>
      <c r="AR34" s="980"/>
      <c r="AS34" s="981"/>
      <c r="AT34" s="990"/>
      <c r="AU34" s="991"/>
      <c r="AV34" s="992">
        <f t="shared" si="4"/>
        <v>0</v>
      </c>
      <c r="AW34" s="993"/>
      <c r="AX34" s="4" t="s">
        <v>197</v>
      </c>
      <c r="AY34" s="422"/>
      <c r="AZ34" s="422"/>
      <c r="BA34" s="423"/>
      <c r="BB34" s="423"/>
    </row>
    <row r="35" spans="1:58" s="4" customFormat="1" ht="21" customHeight="1" thickBot="1">
      <c r="A35" s="994" t="s">
        <v>250</v>
      </c>
      <c r="B35" s="1080"/>
      <c r="C35" s="1080"/>
      <c r="D35" s="1080"/>
      <c r="E35" s="1080"/>
      <c r="F35" s="1080"/>
      <c r="G35" s="1080"/>
      <c r="H35" s="1080"/>
      <c r="I35" s="1080"/>
      <c r="J35" s="1080"/>
      <c r="K35" s="1080"/>
      <c r="L35" s="1080"/>
      <c r="M35" s="1080"/>
      <c r="N35" s="1080"/>
      <c r="O35" s="1081"/>
      <c r="P35" s="1082">
        <f t="shared" si="5"/>
        <v>0</v>
      </c>
      <c r="Q35" s="1083" t="e">
        <f t="shared" si="1"/>
        <v>#DIV/0!</v>
      </c>
      <c r="R35" s="1084"/>
      <c r="S35" s="1080"/>
      <c r="T35" s="1080"/>
      <c r="U35" s="1081"/>
      <c r="V35" s="1085"/>
      <c r="W35" s="1081"/>
      <c r="X35" s="1085"/>
      <c r="Y35" s="1080"/>
      <c r="Z35" s="1080"/>
      <c r="AA35" s="1080"/>
      <c r="AB35" s="1080"/>
      <c r="AC35" s="1080"/>
      <c r="AD35" s="1080"/>
      <c r="AE35" s="1081"/>
      <c r="AF35" s="1086">
        <f t="shared" si="2"/>
        <v>0</v>
      </c>
      <c r="AG35" s="1084"/>
      <c r="AH35" s="1080"/>
      <c r="AI35" s="1080"/>
      <c r="AJ35" s="1080"/>
      <c r="AK35" s="1087"/>
      <c r="AL35" s="1084">
        <f t="shared" si="3"/>
        <v>0</v>
      </c>
      <c r="AM35" s="1082"/>
      <c r="AN35" s="1081"/>
      <c r="AO35" s="1088"/>
      <c r="AP35" s="1089"/>
      <c r="AQ35" s="1084"/>
      <c r="AR35" s="1080"/>
      <c r="AS35" s="1081"/>
      <c r="AT35" s="1005"/>
      <c r="AU35" s="1006"/>
      <c r="AV35" s="1090">
        <f t="shared" si="4"/>
        <v>0</v>
      </c>
      <c r="AW35" s="1091"/>
      <c r="AY35" s="422"/>
      <c r="AZ35" s="422"/>
      <c r="BA35" s="423"/>
      <c r="BB35" s="423"/>
      <c r="BD35" s="123"/>
    </row>
    <row r="36" spans="1:58" ht="21" customHeight="1" thickBot="1">
      <c r="A36" s="15" t="s">
        <v>1</v>
      </c>
      <c r="B36" s="61">
        <f t="shared" ref="B36:O36" si="6">SUM(B5:B35)</f>
        <v>0</v>
      </c>
      <c r="C36" s="60">
        <f t="shared" si="6"/>
        <v>0</v>
      </c>
      <c r="D36" s="61">
        <f t="shared" si="6"/>
        <v>0</v>
      </c>
      <c r="E36" s="61">
        <f t="shared" si="6"/>
        <v>0</v>
      </c>
      <c r="F36" s="61">
        <f t="shared" si="6"/>
        <v>0</v>
      </c>
      <c r="G36" s="61">
        <f t="shared" si="6"/>
        <v>2</v>
      </c>
      <c r="H36" s="61">
        <f t="shared" si="6"/>
        <v>4</v>
      </c>
      <c r="I36" s="61">
        <f t="shared" si="6"/>
        <v>0</v>
      </c>
      <c r="J36" s="61">
        <f t="shared" si="6"/>
        <v>0</v>
      </c>
      <c r="K36" s="61">
        <f t="shared" si="6"/>
        <v>0</v>
      </c>
      <c r="L36" s="61">
        <f t="shared" si="6"/>
        <v>2</v>
      </c>
      <c r="M36" s="61">
        <f t="shared" si="6"/>
        <v>0</v>
      </c>
      <c r="N36" s="61">
        <f t="shared" si="6"/>
        <v>0</v>
      </c>
      <c r="O36" s="263">
        <f t="shared" si="6"/>
        <v>0</v>
      </c>
      <c r="P36" s="257">
        <f>SUM(B36:O36)</f>
        <v>8</v>
      </c>
      <c r="Q36" s="16" t="e">
        <f>AVERAGE(Q5:Q35)</f>
        <v>#DIV/0!</v>
      </c>
      <c r="R36" s="55">
        <f t="shared" ref="R36:AE36" si="7">SUM(R5:R35)</f>
        <v>0</v>
      </c>
      <c r="S36" s="55">
        <f t="shared" si="7"/>
        <v>0</v>
      </c>
      <c r="T36" s="56">
        <f t="shared" si="7"/>
        <v>0</v>
      </c>
      <c r="U36" s="57">
        <f t="shared" si="7"/>
        <v>0</v>
      </c>
      <c r="V36" s="318">
        <f t="shared" si="7"/>
        <v>0</v>
      </c>
      <c r="W36" s="57">
        <f t="shared" si="7"/>
        <v>0</v>
      </c>
      <c r="X36" s="367">
        <f t="shared" si="7"/>
        <v>0</v>
      </c>
      <c r="Y36" s="57">
        <f t="shared" si="7"/>
        <v>0</v>
      </c>
      <c r="Z36" s="57">
        <f t="shared" si="7"/>
        <v>0</v>
      </c>
      <c r="AA36" s="57">
        <f t="shared" si="7"/>
        <v>0</v>
      </c>
      <c r="AB36" s="57">
        <f t="shared" si="7"/>
        <v>0</v>
      </c>
      <c r="AC36" s="57">
        <f t="shared" si="7"/>
        <v>0</v>
      </c>
      <c r="AD36" s="57">
        <f t="shared" si="7"/>
        <v>0</v>
      </c>
      <c r="AE36" s="57">
        <f t="shared" si="7"/>
        <v>0</v>
      </c>
      <c r="AF36" s="368">
        <f>SUM(R36:AE36)</f>
        <v>0</v>
      </c>
      <c r="AG36" s="55">
        <f t="shared" ref="AG36:AT36" si="8">SUM(AG5:AG35)</f>
        <v>0</v>
      </c>
      <c r="AH36" s="56">
        <f t="shared" si="8"/>
        <v>0</v>
      </c>
      <c r="AI36" s="56">
        <f t="shared" si="8"/>
        <v>0</v>
      </c>
      <c r="AJ36" s="56">
        <f t="shared" si="8"/>
        <v>0</v>
      </c>
      <c r="AK36" s="58">
        <f t="shared" si="8"/>
        <v>0</v>
      </c>
      <c r="AL36" s="59">
        <f>AG36+AK36+AH36</f>
        <v>0</v>
      </c>
      <c r="AM36" s="59">
        <f t="shared" si="8"/>
        <v>0</v>
      </c>
      <c r="AN36" s="57"/>
      <c r="AO36" s="369">
        <f t="shared" si="8"/>
        <v>0</v>
      </c>
      <c r="AP36" s="371">
        <f t="shared" si="8"/>
        <v>0</v>
      </c>
      <c r="AQ36" s="55">
        <f t="shared" si="8"/>
        <v>0</v>
      </c>
      <c r="AR36" s="56">
        <f t="shared" si="8"/>
        <v>0</v>
      </c>
      <c r="AS36" s="57">
        <f t="shared" si="8"/>
        <v>0</v>
      </c>
      <c r="AT36" s="770">
        <f t="shared" si="8"/>
        <v>0</v>
      </c>
      <c r="AU36" s="771"/>
      <c r="AV36" s="258">
        <f>SUM(AV5:AV35)</f>
        <v>8</v>
      </c>
      <c r="AW36" s="258">
        <f>SUM(AW5:AW35)</f>
        <v>0</v>
      </c>
      <c r="AY36" s="435"/>
      <c r="AZ36" s="435"/>
      <c r="BA36" s="435"/>
      <c r="BB36" s="435"/>
      <c r="BC36" s="437"/>
      <c r="BD36" s="123"/>
      <c r="BE36" s="437"/>
      <c r="BF36" s="438"/>
    </row>
    <row r="37" spans="1:58" ht="21" customHeight="1" thickTop="1" thickBot="1">
      <c r="A37" s="17" t="s">
        <v>108</v>
      </c>
      <c r="B37" s="18"/>
      <c r="C37" s="18"/>
      <c r="D37" s="18"/>
      <c r="E37" s="18"/>
      <c r="F37" s="18"/>
      <c r="G37" s="18"/>
      <c r="H37" s="18"/>
      <c r="I37" s="18"/>
      <c r="J37" s="19"/>
      <c r="K37" s="19"/>
      <c r="L37" s="19"/>
      <c r="M37" s="19">
        <v>0</v>
      </c>
      <c r="N37" s="19">
        <v>0</v>
      </c>
      <c r="O37" s="264">
        <v>0</v>
      </c>
      <c r="P37" s="21"/>
      <c r="Q37" s="48"/>
      <c r="R37" s="18">
        <v>0</v>
      </c>
      <c r="S37" s="18">
        <v>0</v>
      </c>
      <c r="T37" s="18">
        <v>0</v>
      </c>
      <c r="U37" s="22">
        <v>0</v>
      </c>
      <c r="V37" s="319">
        <v>0</v>
      </c>
      <c r="W37" s="22">
        <v>0</v>
      </c>
      <c r="X37" s="319"/>
      <c r="Y37" s="18"/>
      <c r="Z37" s="18"/>
      <c r="AA37" s="18"/>
      <c r="AB37" s="18"/>
      <c r="AC37" s="18"/>
      <c r="AD37" s="18"/>
      <c r="AE37" s="22"/>
      <c r="AF37" s="353"/>
      <c r="AG37" s="18"/>
      <c r="AH37" s="19"/>
      <c r="AI37" s="19"/>
      <c r="AJ37" s="19"/>
      <c r="AK37" s="20"/>
      <c r="AL37" s="21"/>
      <c r="AM37" s="21">
        <v>0</v>
      </c>
      <c r="AN37" s="264"/>
      <c r="AO37" s="327"/>
      <c r="AP37" s="351"/>
      <c r="AQ37" s="18"/>
      <c r="AR37" s="19"/>
      <c r="AS37" s="20"/>
      <c r="AT37" s="22"/>
      <c r="AU37" s="772" t="s">
        <v>39</v>
      </c>
      <c r="AV37" s="775" t="e">
        <f>AV36/'2026년 폐수반입현황'!AY5</f>
        <v>#DIV/0!</v>
      </c>
      <c r="AW37" s="778" t="e">
        <f>AW36/'2026년 폐수반입현황'!AV5</f>
        <v>#DIV/0!</v>
      </c>
      <c r="AY37" s="303"/>
      <c r="AZ37" s="303"/>
      <c r="BA37" s="303"/>
      <c r="BB37" s="301"/>
      <c r="BC37" s="302"/>
      <c r="BD37" s="123"/>
      <c r="BE37" s="302"/>
      <c r="BF37" s="300"/>
    </row>
    <row r="38" spans="1:58" ht="21" customHeight="1" thickBot="1">
      <c r="A38" s="23" t="s">
        <v>46</v>
      </c>
      <c r="B38" s="49">
        <f t="shared" ref="B38:AS38" si="9">B36-B37</f>
        <v>0</v>
      </c>
      <c r="C38" s="49">
        <f>C36-C37</f>
        <v>0</v>
      </c>
      <c r="D38" s="49">
        <f t="shared" si="9"/>
        <v>0</v>
      </c>
      <c r="E38" s="49">
        <f t="shared" si="9"/>
        <v>0</v>
      </c>
      <c r="F38" s="49">
        <f t="shared" si="9"/>
        <v>0</v>
      </c>
      <c r="G38" s="49">
        <f t="shared" si="9"/>
        <v>2</v>
      </c>
      <c r="H38" s="49">
        <f t="shared" si="9"/>
        <v>4</v>
      </c>
      <c r="I38" s="49">
        <f t="shared" si="9"/>
        <v>0</v>
      </c>
      <c r="J38" s="50">
        <f t="shared" si="9"/>
        <v>0</v>
      </c>
      <c r="K38" s="50">
        <f t="shared" si="9"/>
        <v>0</v>
      </c>
      <c r="L38" s="50">
        <f t="shared" si="9"/>
        <v>2</v>
      </c>
      <c r="M38" s="50">
        <f t="shared" si="9"/>
        <v>0</v>
      </c>
      <c r="N38" s="50">
        <f t="shared" si="9"/>
        <v>0</v>
      </c>
      <c r="O38" s="265">
        <f t="shared" si="9"/>
        <v>0</v>
      </c>
      <c r="P38" s="52">
        <f t="shared" si="9"/>
        <v>8</v>
      </c>
      <c r="Q38" s="53" t="e">
        <f t="shared" si="9"/>
        <v>#DIV/0!</v>
      </c>
      <c r="R38" s="49">
        <f t="shared" si="9"/>
        <v>0</v>
      </c>
      <c r="S38" s="49">
        <f t="shared" si="9"/>
        <v>0</v>
      </c>
      <c r="T38" s="49">
        <f t="shared" si="9"/>
        <v>0</v>
      </c>
      <c r="U38" s="54">
        <f t="shared" si="9"/>
        <v>0</v>
      </c>
      <c r="V38" s="320">
        <f t="shared" si="9"/>
        <v>0</v>
      </c>
      <c r="W38" s="54">
        <f t="shared" si="9"/>
        <v>0</v>
      </c>
      <c r="X38" s="320">
        <f t="shared" si="9"/>
        <v>0</v>
      </c>
      <c r="Y38" s="49">
        <f t="shared" si="9"/>
        <v>0</v>
      </c>
      <c r="Z38" s="49">
        <f t="shared" si="9"/>
        <v>0</v>
      </c>
      <c r="AA38" s="49">
        <f t="shared" si="9"/>
        <v>0</v>
      </c>
      <c r="AB38" s="49">
        <f t="shared" si="9"/>
        <v>0</v>
      </c>
      <c r="AC38" s="49">
        <f t="shared" si="9"/>
        <v>0</v>
      </c>
      <c r="AD38" s="49">
        <f t="shared" si="9"/>
        <v>0</v>
      </c>
      <c r="AE38" s="54">
        <f t="shared" si="9"/>
        <v>0</v>
      </c>
      <c r="AF38" s="354">
        <f t="shared" si="9"/>
        <v>0</v>
      </c>
      <c r="AG38" s="49">
        <f t="shared" si="9"/>
        <v>0</v>
      </c>
      <c r="AH38" s="50">
        <f t="shared" si="9"/>
        <v>0</v>
      </c>
      <c r="AI38" s="50">
        <f t="shared" si="9"/>
        <v>0</v>
      </c>
      <c r="AJ38" s="50">
        <f t="shared" si="9"/>
        <v>0</v>
      </c>
      <c r="AK38" s="51">
        <f t="shared" si="9"/>
        <v>0</v>
      </c>
      <c r="AL38" s="52">
        <f>AG38+AK38+AT38</f>
        <v>0</v>
      </c>
      <c r="AM38" s="52">
        <f t="shared" si="9"/>
        <v>0</v>
      </c>
      <c r="AN38" s="265"/>
      <c r="AO38" s="328">
        <v>64.69</v>
      </c>
      <c r="AP38" s="352">
        <f t="shared" si="9"/>
        <v>0</v>
      </c>
      <c r="AQ38" s="49">
        <f t="shared" si="9"/>
        <v>0</v>
      </c>
      <c r="AR38" s="50">
        <f t="shared" si="9"/>
        <v>0</v>
      </c>
      <c r="AS38" s="51">
        <f t="shared" si="9"/>
        <v>0</v>
      </c>
      <c r="AT38" s="306">
        <f>AT36-AT37</f>
        <v>0</v>
      </c>
      <c r="AU38" s="773"/>
      <c r="AV38" s="776"/>
      <c r="AW38" s="779"/>
      <c r="BD38" s="123"/>
    </row>
    <row r="39" spans="1:58" ht="21" customHeight="1" thickBot="1">
      <c r="A39" s="276" t="s">
        <v>189</v>
      </c>
      <c r="B39" s="307"/>
      <c r="C39" s="278"/>
      <c r="D39" s="278"/>
      <c r="E39" s="278"/>
      <c r="F39" s="372"/>
      <c r="G39" s="278"/>
      <c r="H39" s="278"/>
      <c r="I39" s="372"/>
      <c r="J39" s="278"/>
      <c r="K39" s="372"/>
      <c r="L39" s="280"/>
      <c r="M39" s="277">
        <v>0</v>
      </c>
      <c r="N39" s="277">
        <v>0</v>
      </c>
      <c r="O39" s="277">
        <v>0</v>
      </c>
      <c r="P39" s="277"/>
      <c r="Q39" s="277"/>
      <c r="R39" s="277"/>
      <c r="S39" s="277"/>
      <c r="T39" s="277"/>
      <c r="U39" s="277"/>
      <c r="V39" s="277"/>
      <c r="W39" s="307"/>
      <c r="X39" s="321"/>
      <c r="Y39" s="307"/>
      <c r="Z39" s="278"/>
      <c r="AA39" s="281"/>
      <c r="AB39" s="277"/>
      <c r="AC39" s="277"/>
      <c r="AD39" s="307"/>
      <c r="AE39" s="280"/>
      <c r="AF39" s="307"/>
      <c r="AG39" s="329"/>
      <c r="AH39" s="278"/>
      <c r="AI39" s="281"/>
      <c r="AJ39" s="307"/>
      <c r="AK39" s="279"/>
      <c r="AL39" s="282"/>
      <c r="AM39" s="277">
        <v>0</v>
      </c>
      <c r="AN39" s="307"/>
      <c r="AO39" s="329"/>
      <c r="AP39" s="321"/>
      <c r="AQ39" s="277"/>
      <c r="AR39" s="277"/>
      <c r="AS39" s="307"/>
      <c r="AT39" s="321"/>
      <c r="AU39" s="774"/>
      <c r="AV39" s="777"/>
      <c r="AW39" s="780"/>
      <c r="AY39" s="231"/>
      <c r="AZ39" s="285"/>
      <c r="BD39" s="123"/>
    </row>
    <row r="40" spans="1:58" ht="21" customHeight="1" thickBot="1">
      <c r="A40" s="765" t="s">
        <v>194</v>
      </c>
      <c r="B40" s="294">
        <f>B36/P36</f>
        <v>0</v>
      </c>
      <c r="C40" s="296">
        <f>C36/P36</f>
        <v>0</v>
      </c>
      <c r="D40" s="297">
        <f>D36/P36</f>
        <v>0</v>
      </c>
      <c r="E40" s="295">
        <f>E36/P36</f>
        <v>0</v>
      </c>
      <c r="F40" s="295" t="e">
        <f t="shared" ref="F40:I40" si="10">F36/T36</f>
        <v>#DIV/0!</v>
      </c>
      <c r="G40" s="295">
        <f>G36/P36</f>
        <v>0.25</v>
      </c>
      <c r="H40" s="295">
        <f>H36/P36</f>
        <v>0.5</v>
      </c>
      <c r="I40" s="295" t="e">
        <f t="shared" si="10"/>
        <v>#DIV/0!</v>
      </c>
      <c r="J40" s="295">
        <f>J36/P36</f>
        <v>0</v>
      </c>
      <c r="K40" s="296">
        <f>K36/P36</f>
        <v>0</v>
      </c>
      <c r="L40" s="295">
        <f>L36/P36</f>
        <v>0.25</v>
      </c>
      <c r="M40" s="286"/>
      <c r="N40" s="286"/>
      <c r="O40" s="286"/>
      <c r="P40" s="299">
        <f>B40+C40+D40+E40+G40+J40+K40+H40+L40</f>
        <v>1</v>
      </c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  <c r="AD40" s="286"/>
      <c r="AE40" s="286"/>
      <c r="AF40" s="286"/>
      <c r="AG40" s="286"/>
      <c r="AH40" s="286"/>
      <c r="AI40" s="286"/>
      <c r="AJ40" s="286"/>
      <c r="AK40" s="286"/>
      <c r="AL40" s="67"/>
      <c r="AM40" s="767"/>
      <c r="AN40" s="767"/>
      <c r="AO40" s="767"/>
      <c r="AP40" s="767"/>
      <c r="AQ40" s="767"/>
      <c r="AR40" s="767"/>
      <c r="AS40" s="767"/>
      <c r="AT40" s="767"/>
      <c r="AU40" s="767"/>
      <c r="AV40" s="767"/>
      <c r="AW40" s="767"/>
      <c r="AY40" s="805" t="s">
        <v>187</v>
      </c>
      <c r="AZ40" s="806"/>
      <c r="BA40" s="806"/>
      <c r="BB40" s="806"/>
      <c r="BC40" s="807"/>
      <c r="BD40" s="123"/>
    </row>
    <row r="41" spans="1:58" ht="21" customHeight="1" thickTop="1" thickBot="1">
      <c r="A41" s="766"/>
      <c r="B41" s="808">
        <f>B40+C40</f>
        <v>0</v>
      </c>
      <c r="C41" s="809"/>
      <c r="D41" s="810">
        <f>D40+E40+G40+J40+L40+H40</f>
        <v>1</v>
      </c>
      <c r="E41" s="811"/>
      <c r="F41" s="811"/>
      <c r="G41" s="811"/>
      <c r="H41" s="811"/>
      <c r="I41" s="811"/>
      <c r="J41" s="811"/>
      <c r="K41" s="811"/>
      <c r="L41" s="812"/>
      <c r="M41" s="287"/>
      <c r="N41" s="287"/>
      <c r="O41" s="287"/>
      <c r="P41" s="298">
        <f>B41+C41+D41+E41+G41+J41+K41</f>
        <v>1</v>
      </c>
      <c r="Q41" s="287"/>
      <c r="R41" s="287"/>
      <c r="S41" s="287"/>
      <c r="T41" s="287"/>
      <c r="U41" s="287"/>
      <c r="V41" s="287"/>
      <c r="W41" s="287"/>
      <c r="X41" s="287"/>
      <c r="Y41" s="287"/>
      <c r="Z41" s="287"/>
      <c r="AA41" s="287"/>
      <c r="AB41" s="287"/>
      <c r="AC41" s="287"/>
      <c r="AD41" s="287"/>
      <c r="AE41" s="287"/>
      <c r="AF41" s="287"/>
      <c r="AG41" s="287"/>
      <c r="AH41" s="287"/>
      <c r="AI41" s="287"/>
      <c r="AJ41" s="287"/>
      <c r="AK41" s="287"/>
      <c r="AM41" s="784"/>
      <c r="AN41" s="784"/>
      <c r="AO41" s="784"/>
      <c r="AP41" s="784"/>
      <c r="AQ41" s="784"/>
      <c r="AR41" s="784"/>
      <c r="AS41" s="784"/>
      <c r="AT41" s="784"/>
      <c r="AU41" s="784"/>
      <c r="AV41" s="784"/>
      <c r="AW41" s="784"/>
      <c r="AY41" s="813" t="s">
        <v>78</v>
      </c>
      <c r="AZ41" s="814"/>
      <c r="BA41" s="66" t="s">
        <v>144</v>
      </c>
      <c r="BB41" s="274" t="s">
        <v>195</v>
      </c>
      <c r="BC41" s="283"/>
      <c r="BD41" s="123"/>
    </row>
    <row r="42" spans="1:58" ht="15.95" customHeight="1">
      <c r="A42" s="781"/>
      <c r="B42" s="293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7"/>
      <c r="P42" s="287"/>
      <c r="Q42" s="287"/>
      <c r="R42" s="287"/>
      <c r="S42" s="287"/>
      <c r="T42" s="287"/>
      <c r="U42" s="287"/>
      <c r="V42" s="287"/>
      <c r="W42" s="287"/>
      <c r="X42" s="287"/>
      <c r="Y42" s="287"/>
      <c r="Z42" s="287"/>
      <c r="AA42" s="287"/>
      <c r="AB42" s="287"/>
      <c r="AC42" s="287"/>
      <c r="AD42" s="287"/>
      <c r="AE42" s="287"/>
      <c r="AF42" s="287"/>
      <c r="AG42" s="287"/>
      <c r="AH42" s="287"/>
      <c r="AI42" s="287"/>
      <c r="AJ42" s="287"/>
      <c r="AK42" s="287"/>
      <c r="AM42" s="784"/>
      <c r="AN42" s="784"/>
      <c r="AO42" s="784"/>
      <c r="AP42" s="784"/>
      <c r="AQ42" s="784"/>
      <c r="AR42" s="784"/>
      <c r="AS42" s="784"/>
      <c r="AT42" s="784"/>
      <c r="AU42" s="784"/>
      <c r="AV42" s="784"/>
      <c r="AW42" s="785"/>
      <c r="AY42" s="786" t="s">
        <v>45</v>
      </c>
      <c r="AZ42" s="787"/>
      <c r="BA42" s="284">
        <f>AF36</f>
        <v>0</v>
      </c>
      <c r="BB42" s="80">
        <f>AT36</f>
        <v>0</v>
      </c>
      <c r="BC42" s="85"/>
      <c r="BD42" s="123"/>
    </row>
    <row r="43" spans="1:58" ht="15.95" customHeight="1" thickBot="1">
      <c r="A43" s="782"/>
      <c r="B43" s="291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87"/>
      <c r="AB43" s="287"/>
      <c r="AC43" s="287"/>
      <c r="AD43" s="287"/>
      <c r="AE43" s="287"/>
      <c r="AF43" s="287"/>
      <c r="AG43" s="287"/>
      <c r="AH43" s="287"/>
      <c r="AI43" s="287"/>
      <c r="AJ43" s="287"/>
      <c r="AK43" s="287"/>
      <c r="AL43" s="334"/>
      <c r="AM43" s="788"/>
      <c r="AN43" s="788"/>
      <c r="AO43" s="788"/>
      <c r="AP43" s="788"/>
      <c r="AQ43" s="788"/>
      <c r="AR43" s="788"/>
      <c r="AS43" s="788"/>
      <c r="AT43" s="788"/>
      <c r="AU43" s="788"/>
      <c r="AV43" s="788"/>
      <c r="AW43" s="789"/>
      <c r="AY43" s="786" t="s">
        <v>73</v>
      </c>
      <c r="AZ43" s="787"/>
      <c r="BA43" s="284">
        <v>2479</v>
      </c>
      <c r="BB43" s="64">
        <v>2479</v>
      </c>
      <c r="BC43" s="65"/>
      <c r="BD43" s="123"/>
    </row>
    <row r="44" spans="1:58" ht="15.95" customHeight="1" thickTop="1" thickBot="1">
      <c r="A44" s="782"/>
      <c r="B44" s="291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87"/>
      <c r="AB44" s="287"/>
      <c r="AC44" s="287"/>
      <c r="AD44" s="287"/>
      <c r="AE44" s="287"/>
      <c r="AF44" s="287"/>
      <c r="AG44" s="287"/>
      <c r="AH44" s="287"/>
      <c r="AI44" s="287"/>
      <c r="AJ44" s="287"/>
      <c r="AK44" s="288"/>
      <c r="AL44" s="81"/>
      <c r="AM44" s="790"/>
      <c r="AN44" s="791"/>
      <c r="AO44" s="791"/>
      <c r="AP44" s="791"/>
      <c r="AQ44" s="791"/>
      <c r="AR44" s="791"/>
      <c r="AS44" s="791"/>
      <c r="AT44" s="791"/>
      <c r="AU44" s="791"/>
      <c r="AV44" s="791"/>
      <c r="AW44" s="792"/>
      <c r="AY44" s="793" t="s">
        <v>80</v>
      </c>
      <c r="AZ44" s="794"/>
      <c r="BA44" s="83">
        <v>540</v>
      </c>
      <c r="BB44" s="83">
        <v>540</v>
      </c>
      <c r="BC44" s="84"/>
      <c r="BD44" s="123"/>
    </row>
    <row r="45" spans="1:58" ht="15.75" customHeight="1" thickTop="1" thickBot="1">
      <c r="A45" s="782"/>
      <c r="B45" s="291"/>
      <c r="C45" s="287"/>
      <c r="D45" s="287"/>
      <c r="E45" s="287"/>
      <c r="F45" s="287"/>
      <c r="G45" s="287"/>
      <c r="H45" s="287"/>
      <c r="I45" s="287"/>
      <c r="J45" s="287"/>
      <c r="K45" s="287"/>
      <c r="L45" s="287"/>
      <c r="M45" s="287"/>
      <c r="N45" s="287"/>
      <c r="O45" s="287"/>
      <c r="P45" s="287"/>
      <c r="Q45" s="287"/>
      <c r="R45" s="287"/>
      <c r="S45" s="287"/>
      <c r="T45" s="287"/>
      <c r="U45" s="287"/>
      <c r="V45" s="287"/>
      <c r="W45" s="287"/>
      <c r="X45" s="287"/>
      <c r="Y45" s="287"/>
      <c r="Z45" s="287"/>
      <c r="AA45" s="287"/>
      <c r="AB45" s="287"/>
      <c r="AC45" s="287"/>
      <c r="AD45" s="287"/>
      <c r="AE45" s="287"/>
      <c r="AF45" s="287"/>
      <c r="AG45" s="287"/>
      <c r="AH45" s="287"/>
      <c r="AI45" s="287"/>
      <c r="AJ45" s="287"/>
      <c r="AK45" s="288"/>
      <c r="AL45" s="81"/>
      <c r="AM45" s="790"/>
      <c r="AN45" s="791"/>
      <c r="AO45" s="791"/>
      <c r="AP45" s="791"/>
      <c r="AQ45" s="791"/>
      <c r="AR45" s="791"/>
      <c r="AS45" s="791"/>
      <c r="AT45" s="791"/>
      <c r="AU45" s="791"/>
      <c r="AV45" s="791"/>
      <c r="AW45" s="792"/>
      <c r="AY45" s="795" t="s">
        <v>74</v>
      </c>
      <c r="AZ45" s="796"/>
      <c r="BA45" s="273">
        <f>(BA43+BA44)*BA42</f>
        <v>0</v>
      </c>
      <c r="BB45" s="273">
        <f>(BB43+BB44)*BB42</f>
        <v>0</v>
      </c>
      <c r="BC45" s="82"/>
      <c r="BD45" s="123"/>
    </row>
    <row r="46" spans="1:58" ht="15.95" customHeight="1" thickTop="1" thickBot="1">
      <c r="A46" s="782"/>
      <c r="B46" s="291"/>
      <c r="C46" s="287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287"/>
      <c r="S46" s="287"/>
      <c r="T46" s="287"/>
      <c r="U46" s="287"/>
      <c r="V46" s="287"/>
      <c r="W46" s="287"/>
      <c r="X46" s="287"/>
      <c r="Y46" s="287"/>
      <c r="Z46" s="287"/>
      <c r="AA46" s="287"/>
      <c r="AB46" s="287"/>
      <c r="AC46" s="287"/>
      <c r="AD46" s="287"/>
      <c r="AE46" s="287"/>
      <c r="AF46" s="287"/>
      <c r="AG46" s="287"/>
      <c r="AH46" s="287"/>
      <c r="AI46" s="287"/>
      <c r="AJ46" s="287"/>
      <c r="AK46" s="288"/>
      <c r="AL46" s="81"/>
      <c r="AM46" s="790"/>
      <c r="AN46" s="791"/>
      <c r="AO46" s="791"/>
      <c r="AP46" s="791"/>
      <c r="AQ46" s="791"/>
      <c r="AR46" s="791"/>
      <c r="AS46" s="791"/>
      <c r="AT46" s="791"/>
      <c r="AU46" s="791"/>
      <c r="AV46" s="791"/>
      <c r="AW46" s="792"/>
      <c r="AY46" s="797" t="s">
        <v>77</v>
      </c>
      <c r="AZ46" s="798"/>
      <c r="BA46" s="818">
        <f>BA42+BB42+BC42</f>
        <v>0</v>
      </c>
      <c r="BB46" s="819"/>
      <c r="BC46" s="820"/>
      <c r="BD46" s="123"/>
    </row>
    <row r="47" spans="1:58" ht="15.95" customHeight="1" thickTop="1" thickBot="1">
      <c r="A47" s="782"/>
      <c r="B47" s="291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287"/>
      <c r="S47" s="287"/>
      <c r="T47" s="287"/>
      <c r="U47" s="287"/>
      <c r="V47" s="287"/>
      <c r="W47" s="287"/>
      <c r="X47" s="287"/>
      <c r="Y47" s="287"/>
      <c r="Z47" s="287"/>
      <c r="AA47" s="287"/>
      <c r="AB47" s="287"/>
      <c r="AC47" s="287"/>
      <c r="AD47" s="287"/>
      <c r="AE47" s="287"/>
      <c r="AF47" s="287"/>
      <c r="AG47" s="287"/>
      <c r="AH47" s="287"/>
      <c r="AI47" s="287"/>
      <c r="AJ47" s="287"/>
      <c r="AK47" s="288"/>
      <c r="AL47" s="81"/>
      <c r="AM47" s="790"/>
      <c r="AN47" s="791"/>
      <c r="AO47" s="791"/>
      <c r="AP47" s="791"/>
      <c r="AQ47" s="791"/>
      <c r="AR47" s="791"/>
      <c r="AS47" s="791"/>
      <c r="AT47" s="791"/>
      <c r="AU47" s="791"/>
      <c r="AV47" s="791"/>
      <c r="AW47" s="792"/>
      <c r="AY47" s="821" t="s">
        <v>76</v>
      </c>
      <c r="AZ47" s="822"/>
      <c r="BA47" s="823">
        <f>BA46*BA48</f>
        <v>0</v>
      </c>
      <c r="BB47" s="824"/>
      <c r="BC47" s="825"/>
      <c r="BD47" s="123"/>
    </row>
    <row r="48" spans="1:58" ht="15.95" customHeight="1" thickTop="1" thickBot="1">
      <c r="A48" s="782"/>
      <c r="B48" s="291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287"/>
      <c r="AA48" s="287"/>
      <c r="AB48" s="287"/>
      <c r="AC48" s="287"/>
      <c r="AD48" s="287"/>
      <c r="AE48" s="287"/>
      <c r="AF48" s="287"/>
      <c r="AG48" s="287"/>
      <c r="AH48" s="287"/>
      <c r="AI48" s="287"/>
      <c r="AJ48" s="287"/>
      <c r="AK48" s="288"/>
      <c r="AL48" s="81"/>
      <c r="AM48" s="790"/>
      <c r="AN48" s="791"/>
      <c r="AO48" s="791"/>
      <c r="AP48" s="791"/>
      <c r="AQ48" s="791"/>
      <c r="AR48" s="791"/>
      <c r="AS48" s="791"/>
      <c r="AT48" s="791"/>
      <c r="AU48" s="791"/>
      <c r="AV48" s="791"/>
      <c r="AW48" s="792"/>
      <c r="AY48" s="821" t="s">
        <v>75</v>
      </c>
      <c r="AZ48" s="822"/>
      <c r="BA48" s="826">
        <v>3019</v>
      </c>
      <c r="BB48" s="827"/>
      <c r="BC48" s="828"/>
    </row>
    <row r="49" spans="1:55" ht="15.95" customHeight="1" thickTop="1" thickBot="1">
      <c r="A49" s="783"/>
      <c r="B49" s="292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  <c r="Z49" s="289"/>
      <c r="AA49" s="289"/>
      <c r="AB49" s="289"/>
      <c r="AC49" s="289"/>
      <c r="AD49" s="289"/>
      <c r="AE49" s="289"/>
      <c r="AF49" s="289"/>
      <c r="AG49" s="289"/>
      <c r="AH49" s="289"/>
      <c r="AI49" s="289"/>
      <c r="AJ49" s="289"/>
      <c r="AK49" s="290"/>
      <c r="AL49" s="275"/>
      <c r="AM49" s="799"/>
      <c r="AN49" s="800"/>
      <c r="AO49" s="800"/>
      <c r="AP49" s="800"/>
      <c r="AQ49" s="800"/>
      <c r="AR49" s="800"/>
      <c r="AS49" s="800"/>
      <c r="AT49" s="800"/>
      <c r="AU49" s="800"/>
      <c r="AV49" s="800"/>
      <c r="AW49" s="801"/>
      <c r="AY49" s="802" t="s">
        <v>190</v>
      </c>
      <c r="AZ49" s="803"/>
      <c r="BA49" s="803"/>
      <c r="BB49" s="803"/>
      <c r="BC49" s="804"/>
    </row>
    <row r="51" spans="1:55" ht="14.25" thickBot="1"/>
    <row r="52" spans="1:55" ht="14.25" thickTop="1">
      <c r="AY52" s="235" t="s">
        <v>219</v>
      </c>
      <c r="AZ52" s="815" t="s">
        <v>212</v>
      </c>
      <c r="BA52" s="816"/>
      <c r="BB52" s="815" t="s">
        <v>214</v>
      </c>
      <c r="BC52" s="817"/>
    </row>
    <row r="53" spans="1:55">
      <c r="AY53" s="233" t="s">
        <v>176</v>
      </c>
      <c r="AZ53" s="236" t="s">
        <v>44</v>
      </c>
      <c r="BA53" s="237" t="s">
        <v>177</v>
      </c>
      <c r="BB53" s="234" t="s">
        <v>45</v>
      </c>
      <c r="BC53" s="232" t="s">
        <v>177</v>
      </c>
    </row>
    <row r="54" spans="1:55" ht="14.25" thickBot="1">
      <c r="AY54" s="252">
        <v>29</v>
      </c>
      <c r="AZ54" s="255">
        <f>AW36</f>
        <v>0</v>
      </c>
      <c r="BA54" s="253" t="e">
        <f>AW37</f>
        <v>#DIV/0!</v>
      </c>
      <c r="BB54" s="256">
        <f>AV36</f>
        <v>8</v>
      </c>
      <c r="BC54" s="254" t="e">
        <f>AV37</f>
        <v>#DIV/0!</v>
      </c>
    </row>
    <row r="55" spans="1:55" ht="14.25" thickTop="1"/>
  </sheetData>
  <mergeCells count="70">
    <mergeCell ref="AT4:AU4"/>
    <mergeCell ref="A1:AV1"/>
    <mergeCell ref="A2:A3"/>
    <mergeCell ref="B2:AW2"/>
    <mergeCell ref="AT3:AU3"/>
    <mergeCell ref="AT16:AU16"/>
    <mergeCell ref="AT5:AU5"/>
    <mergeCell ref="AT6:AU6"/>
    <mergeCell ref="AT7:AU7"/>
    <mergeCell ref="AT8:AU8"/>
    <mergeCell ref="AT9:AU9"/>
    <mergeCell ref="AT10:AU10"/>
    <mergeCell ref="AT11:AU11"/>
    <mergeCell ref="AT12:AU12"/>
    <mergeCell ref="AT13:AU13"/>
    <mergeCell ref="AT14:AU14"/>
    <mergeCell ref="AT15:AU15"/>
    <mergeCell ref="AW37:AW39"/>
    <mergeCell ref="AT28:AU28"/>
    <mergeCell ref="AT17:AU17"/>
    <mergeCell ref="AT18:AU18"/>
    <mergeCell ref="AT19:AU19"/>
    <mergeCell ref="AT20:AU20"/>
    <mergeCell ref="AT21:AU21"/>
    <mergeCell ref="AT22:AU22"/>
    <mergeCell ref="AT23:AU23"/>
    <mergeCell ref="AT24:AU24"/>
    <mergeCell ref="AT25:AU25"/>
    <mergeCell ref="AT26:AU26"/>
    <mergeCell ref="AT27:AU27"/>
    <mergeCell ref="AT34:AU34"/>
    <mergeCell ref="AT35:AU35"/>
    <mergeCell ref="AT36:AU36"/>
    <mergeCell ref="AU37:AU39"/>
    <mergeCell ref="AV37:AV39"/>
    <mergeCell ref="AT29:AU29"/>
    <mergeCell ref="AT30:AU30"/>
    <mergeCell ref="AT31:AU31"/>
    <mergeCell ref="AT32:AU32"/>
    <mergeCell ref="AT33:AU33"/>
    <mergeCell ref="B41:C41"/>
    <mergeCell ref="D41:L41"/>
    <mergeCell ref="AM41:AW41"/>
    <mergeCell ref="AY41:AZ41"/>
    <mergeCell ref="A42:A49"/>
    <mergeCell ref="AM42:AW42"/>
    <mergeCell ref="AM43:AW43"/>
    <mergeCell ref="AM44:AW44"/>
    <mergeCell ref="AM45:AW45"/>
    <mergeCell ref="AM46:AW46"/>
    <mergeCell ref="AM49:AW49"/>
    <mergeCell ref="A40:A41"/>
    <mergeCell ref="AM40:AW40"/>
    <mergeCell ref="AY45:AZ45"/>
    <mergeCell ref="AY44:AZ44"/>
    <mergeCell ref="AY43:AZ43"/>
    <mergeCell ref="AM47:AW47"/>
    <mergeCell ref="AY47:AZ47"/>
    <mergeCell ref="BA47:BC47"/>
    <mergeCell ref="AM48:AW48"/>
    <mergeCell ref="AY48:AZ48"/>
    <mergeCell ref="BA48:BC48"/>
    <mergeCell ref="AY42:AZ42"/>
    <mergeCell ref="AY2:BB2"/>
    <mergeCell ref="AY40:BC40"/>
    <mergeCell ref="AZ52:BA52"/>
    <mergeCell ref="BB52:BC52"/>
    <mergeCell ref="BA46:BC46"/>
    <mergeCell ref="AY49:BC49"/>
    <mergeCell ref="AY46:AZ46"/>
  </mergeCells>
  <phoneticPr fontId="4" type="noConversion"/>
  <printOptions horizontalCentered="1" verticalCentered="1"/>
  <pageMargins left="0.11811023622047245" right="0.11811023622047245" top="0.35433070866141736" bottom="0.35433070866141736" header="0" footer="0"/>
  <pageSetup paperSize="8" scale="87" orientation="landscape" r:id="rId1"/>
  <rowBreaks count="1" manualBreakCount="1">
    <brk id="13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55"/>
  <sheetViews>
    <sheetView zoomScaleNormal="100" zoomScaleSheetLayoutView="85" workbookViewId="0">
      <pane xSplit="1" ySplit="4" topLeftCell="B23" activePane="bottomRight" state="frozen"/>
      <selection pane="topRight" activeCell="B1" sqref="B1"/>
      <selection pane="bottomLeft" activeCell="A6" sqref="A6"/>
      <selection pane="bottomRight" sqref="A1:AV1"/>
    </sheetView>
  </sheetViews>
  <sheetFormatPr defaultRowHeight="13.5"/>
  <cols>
    <col min="1" max="1" customWidth="true" width="5.77734375" collapsed="true"/>
    <col min="2" max="5" customWidth="true" width="7.77734375" collapsed="true"/>
    <col min="6" max="6" customWidth="true" hidden="true" width="7.5546875" collapsed="true"/>
    <col min="7" max="8" customWidth="true" width="7.77734375" collapsed="true"/>
    <col min="9" max="9" customWidth="true" hidden="true" width="7.77734375" collapsed="true"/>
    <col min="10" max="10" customWidth="true" width="7.77734375" collapsed="true"/>
    <col min="11" max="11" customWidth="true" hidden="true" width="7.77734375" collapsed="true"/>
    <col min="12" max="12" customWidth="true" width="7.77734375" collapsed="true"/>
    <col min="13" max="15" customWidth="true" hidden="true" width="7.77734375" collapsed="true"/>
    <col min="16" max="16" customWidth="true" width="6.77734375" collapsed="true"/>
    <col min="17" max="17" customWidth="true" width="7.77734375" collapsed="true"/>
    <col min="18" max="22" customWidth="true" hidden="true" width="6.77734375" collapsed="true"/>
    <col min="23" max="23" customWidth="true" hidden="true" width="7.77734375" collapsed="true"/>
    <col min="24" max="24" customWidth="true" width="7.6640625" collapsed="true"/>
    <col min="25" max="25" customWidth="true" hidden="true" width="6.77734375" collapsed="true"/>
    <col min="26" max="26" customWidth="true" width="6.77734375" collapsed="true"/>
    <col min="27" max="30" customWidth="true" hidden="true" width="6.77734375" collapsed="true"/>
    <col min="31" max="31" customWidth="true" width="8.0" collapsed="true"/>
    <col min="32" max="32" customWidth="true" width="9.6640625" collapsed="true"/>
    <col min="33" max="34" customWidth="true" width="7.77734375" collapsed="true"/>
    <col min="35" max="36" customWidth="true" hidden="true" width="7.77734375" collapsed="true"/>
    <col min="37" max="37" customWidth="true" width="6.77734375" collapsed="true"/>
    <col min="38" max="38" customWidth="true" width="7.77734375" collapsed="true"/>
    <col min="39" max="40" customWidth="true" hidden="true" width="7.77734375" collapsed="true"/>
    <col min="41" max="42" customWidth="true" width="7.77734375" collapsed="true"/>
    <col min="43" max="45" customWidth="true" hidden="true" width="6.33203125" collapsed="true"/>
    <col min="46" max="46" customWidth="true" width="6.33203125" collapsed="true"/>
    <col min="47" max="47" customWidth="true" width="2.33203125" collapsed="true"/>
    <col min="48" max="49" customWidth="true" width="7.77734375" collapsed="true"/>
    <col min="52" max="52" customWidth="true" width="9.77734375" collapsed="true"/>
    <col min="56" max="57" bestFit="true" customWidth="true" width="10.21875" collapsed="true"/>
    <col min="58" max="58" bestFit="true" customWidth="true" width="10.6640625" collapsed="true"/>
  </cols>
  <sheetData>
    <row r="1" spans="1:57" ht="27" thickBot="1">
      <c r="A1" s="747" t="s">
        <v>251</v>
      </c>
      <c r="B1" s="747"/>
      <c r="C1" s="747"/>
      <c r="D1" s="747"/>
      <c r="E1" s="747"/>
      <c r="F1" s="747"/>
      <c r="G1" s="747"/>
      <c r="H1" s="747"/>
      <c r="I1" s="747"/>
      <c r="J1" s="747"/>
      <c r="K1" s="747"/>
      <c r="L1" s="747"/>
      <c r="M1" s="747"/>
      <c r="N1" s="747"/>
      <c r="O1" s="747"/>
      <c r="P1" s="747"/>
      <c r="Q1" s="747"/>
      <c r="R1" s="747"/>
      <c r="S1" s="747"/>
      <c r="T1" s="747"/>
      <c r="U1" s="747"/>
      <c r="V1" s="747"/>
      <c r="W1" s="747"/>
      <c r="X1" s="747"/>
      <c r="Y1" s="747"/>
      <c r="Z1" s="747"/>
      <c r="AA1" s="747"/>
      <c r="AB1" s="747"/>
      <c r="AC1" s="747"/>
      <c r="AD1" s="747"/>
      <c r="AE1" s="747"/>
      <c r="AF1" s="747"/>
      <c r="AG1" s="747"/>
      <c r="AH1" s="747"/>
      <c r="AI1" s="747"/>
      <c r="AJ1" s="747"/>
      <c r="AK1" s="747"/>
      <c r="AL1" s="747"/>
      <c r="AM1" s="747"/>
      <c r="AN1" s="747"/>
      <c r="AO1" s="747"/>
      <c r="AP1" s="747"/>
      <c r="AQ1" s="747"/>
      <c r="AR1" s="747"/>
      <c r="AS1" s="747"/>
      <c r="AT1" s="747"/>
      <c r="AU1" s="747"/>
      <c r="AV1" s="747"/>
      <c r="AW1" s="13"/>
    </row>
    <row r="2" spans="1:57" ht="21" customHeight="1" thickBot="1">
      <c r="A2" s="748" t="s">
        <v>0</v>
      </c>
      <c r="B2" s="750"/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0"/>
      <c r="U2" s="750"/>
      <c r="V2" s="750"/>
      <c r="W2" s="750"/>
      <c r="X2" s="750"/>
      <c r="Y2" s="750"/>
      <c r="Z2" s="750"/>
      <c r="AA2" s="750"/>
      <c r="AB2" s="750"/>
      <c r="AC2" s="750"/>
      <c r="AD2" s="750"/>
      <c r="AE2" s="750"/>
      <c r="AF2" s="750"/>
      <c r="AG2" s="750"/>
      <c r="AH2" s="750"/>
      <c r="AI2" s="750"/>
      <c r="AJ2" s="750"/>
      <c r="AK2" s="750"/>
      <c r="AL2" s="750"/>
      <c r="AM2" s="750"/>
      <c r="AN2" s="750"/>
      <c r="AO2" s="750"/>
      <c r="AP2" s="750"/>
      <c r="AQ2" s="750"/>
      <c r="AR2" s="750"/>
      <c r="AS2" s="750"/>
      <c r="AT2" s="750"/>
      <c r="AU2" s="750"/>
      <c r="AV2" s="750"/>
      <c r="AW2" s="751"/>
      <c r="AY2" s="752"/>
      <c r="AZ2" s="752"/>
      <c r="BA2" s="752"/>
      <c r="BB2" s="752"/>
    </row>
    <row r="3" spans="1:57" ht="50.1" customHeight="1">
      <c r="A3" s="749"/>
      <c r="B3" s="62" t="s">
        <v>71</v>
      </c>
      <c r="C3" s="63" t="s">
        <v>61</v>
      </c>
      <c r="D3" s="25" t="s">
        <v>175</v>
      </c>
      <c r="E3" s="24" t="s">
        <v>173</v>
      </c>
      <c r="F3" s="24"/>
      <c r="G3" s="24" t="s">
        <v>206</v>
      </c>
      <c r="H3" s="24" t="s">
        <v>205</v>
      </c>
      <c r="I3" s="24" t="s">
        <v>28</v>
      </c>
      <c r="J3" s="24" t="s">
        <v>151</v>
      </c>
      <c r="K3" s="24" t="s">
        <v>174</v>
      </c>
      <c r="L3" s="24" t="s">
        <v>203</v>
      </c>
      <c r="M3" s="24" t="s">
        <v>48</v>
      </c>
      <c r="N3" s="24" t="s">
        <v>52</v>
      </c>
      <c r="O3" s="24" t="s">
        <v>53</v>
      </c>
      <c r="P3" s="26" t="s">
        <v>43</v>
      </c>
      <c r="Q3" s="27" t="s">
        <v>18</v>
      </c>
      <c r="R3" s="28" t="s">
        <v>193</v>
      </c>
      <c r="S3" s="28" t="s">
        <v>20</v>
      </c>
      <c r="T3" s="29" t="s">
        <v>32</v>
      </c>
      <c r="U3" s="30" t="s">
        <v>21</v>
      </c>
      <c r="V3" s="316" t="s">
        <v>66</v>
      </c>
      <c r="W3" s="30" t="s">
        <v>72</v>
      </c>
      <c r="X3" s="358" t="s">
        <v>38</v>
      </c>
      <c r="Y3" s="359" t="s">
        <v>181</v>
      </c>
      <c r="Z3" s="359" t="s">
        <v>202</v>
      </c>
      <c r="AA3" s="359" t="s">
        <v>49</v>
      </c>
      <c r="AB3" s="359" t="s">
        <v>50</v>
      </c>
      <c r="AC3" s="359" t="s">
        <v>51</v>
      </c>
      <c r="AD3" s="359" t="s">
        <v>24</v>
      </c>
      <c r="AE3" s="360" t="s">
        <v>33</v>
      </c>
      <c r="AF3" s="361" t="s">
        <v>19</v>
      </c>
      <c r="AG3" s="356" t="s">
        <v>198</v>
      </c>
      <c r="AH3" s="31" t="s">
        <v>42</v>
      </c>
      <c r="AI3" s="31" t="s">
        <v>36</v>
      </c>
      <c r="AJ3" s="31" t="s">
        <v>114</v>
      </c>
      <c r="AK3" s="32" t="s">
        <v>201</v>
      </c>
      <c r="AL3" s="313" t="s">
        <v>196</v>
      </c>
      <c r="AM3" s="33" t="s">
        <v>36</v>
      </c>
      <c r="AN3" s="315" t="s">
        <v>114</v>
      </c>
      <c r="AO3" s="322" t="s">
        <v>200</v>
      </c>
      <c r="AP3" s="346" t="s">
        <v>26</v>
      </c>
      <c r="AQ3" s="309" t="s">
        <v>36</v>
      </c>
      <c r="AR3" s="34" t="s">
        <v>47</v>
      </c>
      <c r="AS3" s="311" t="s">
        <v>48</v>
      </c>
      <c r="AT3" s="753" t="s">
        <v>156</v>
      </c>
      <c r="AU3" s="754"/>
      <c r="AV3" s="229" t="s">
        <v>213</v>
      </c>
      <c r="AW3" s="86" t="s">
        <v>211</v>
      </c>
      <c r="AY3" s="417"/>
      <c r="AZ3" s="417"/>
      <c r="BA3" s="417"/>
      <c r="BB3" s="417"/>
    </row>
    <row r="4" spans="1:57" ht="27.75" customHeight="1" thickBot="1">
      <c r="A4" s="14" t="s">
        <v>27</v>
      </c>
      <c r="B4" s="35" t="s">
        <v>172</v>
      </c>
      <c r="C4" s="35" t="s">
        <v>157</v>
      </c>
      <c r="D4" s="35" t="s">
        <v>62</v>
      </c>
      <c r="E4" s="36" t="s">
        <v>159</v>
      </c>
      <c r="F4" s="36"/>
      <c r="G4" s="36" t="s">
        <v>178</v>
      </c>
      <c r="H4" s="36" t="s">
        <v>158</v>
      </c>
      <c r="I4" s="36"/>
      <c r="J4" s="36" t="s">
        <v>179</v>
      </c>
      <c r="K4" s="36" t="s">
        <v>160</v>
      </c>
      <c r="L4" s="36" t="s">
        <v>204</v>
      </c>
      <c r="M4" s="36"/>
      <c r="N4" s="36"/>
      <c r="O4" s="37"/>
      <c r="P4" s="38"/>
      <c r="Q4" s="39"/>
      <c r="R4" s="40" t="s">
        <v>183</v>
      </c>
      <c r="S4" s="40"/>
      <c r="T4" s="40" t="s">
        <v>64</v>
      </c>
      <c r="U4" s="41"/>
      <c r="V4" s="317" t="s">
        <v>65</v>
      </c>
      <c r="W4" s="355" t="s">
        <v>35</v>
      </c>
      <c r="X4" s="317" t="s">
        <v>161</v>
      </c>
      <c r="Y4" s="40" t="s">
        <v>182</v>
      </c>
      <c r="Z4" s="41" t="s">
        <v>207</v>
      </c>
      <c r="AA4" s="41"/>
      <c r="AB4" s="41"/>
      <c r="AC4" s="41"/>
      <c r="AD4" s="41"/>
      <c r="AE4" s="42"/>
      <c r="AF4" s="362" t="s">
        <v>60</v>
      </c>
      <c r="AG4" s="357" t="s">
        <v>199</v>
      </c>
      <c r="AH4" s="43" t="s">
        <v>171</v>
      </c>
      <c r="AI4" s="43"/>
      <c r="AJ4" s="43"/>
      <c r="AK4" s="44"/>
      <c r="AL4" s="314"/>
      <c r="AM4" s="45"/>
      <c r="AN4" s="308"/>
      <c r="AO4" s="323"/>
      <c r="AP4" s="347"/>
      <c r="AQ4" s="310"/>
      <c r="AR4" s="46"/>
      <c r="AS4" s="312"/>
      <c r="AT4" s="745" t="s">
        <v>191</v>
      </c>
      <c r="AU4" s="746"/>
      <c r="AV4" s="230"/>
      <c r="AW4" s="47"/>
      <c r="AY4" s="418"/>
      <c r="AZ4" s="418"/>
      <c r="BA4" s="419"/>
      <c r="BB4" s="1"/>
    </row>
    <row r="5" spans="1:57" s="5" customFormat="1" ht="21" customHeight="1">
      <c r="A5" s="553" t="s">
        <v>220</v>
      </c>
      <c r="B5" s="554"/>
      <c r="C5" s="554"/>
      <c r="D5" s="554"/>
      <c r="E5" s="554"/>
      <c r="F5" s="554"/>
      <c r="G5" s="554"/>
      <c r="H5" s="554"/>
      <c r="I5" s="554"/>
      <c r="J5" s="554"/>
      <c r="K5" s="554"/>
      <c r="L5" s="554"/>
      <c r="M5" s="555"/>
      <c r="N5" s="555"/>
      <c r="O5" s="556"/>
      <c r="P5" s="557">
        <f t="shared" ref="P5:P29" si="0">SUM(B5:O5)</f>
        <v>0</v>
      </c>
      <c r="Q5" s="558" t="e">
        <f t="shared" ref="Q5:Q35" si="1">P5/AV5</f>
        <v>#DIV/0!</v>
      </c>
      <c r="R5" s="559"/>
      <c r="S5" s="554"/>
      <c r="T5" s="554"/>
      <c r="U5" s="560"/>
      <c r="V5" s="561"/>
      <c r="W5" s="560"/>
      <c r="X5" s="561"/>
      <c r="Y5" s="554"/>
      <c r="Z5" s="554"/>
      <c r="AA5" s="554"/>
      <c r="AB5" s="554"/>
      <c r="AC5" s="554"/>
      <c r="AD5" s="554"/>
      <c r="AE5" s="560"/>
      <c r="AF5" s="562">
        <f t="shared" ref="AF5:AF35" si="2">SUM(R5:AE5)</f>
        <v>0</v>
      </c>
      <c r="AG5" s="563"/>
      <c r="AH5" s="554"/>
      <c r="AI5" s="554"/>
      <c r="AJ5" s="554"/>
      <c r="AK5" s="564"/>
      <c r="AL5" s="563">
        <f>AG5+AK5+AH5</f>
        <v>0</v>
      </c>
      <c r="AM5" s="557"/>
      <c r="AN5" s="560"/>
      <c r="AO5" s="565"/>
      <c r="AP5" s="566"/>
      <c r="AQ5" s="563"/>
      <c r="AR5" s="554"/>
      <c r="AS5" s="560"/>
      <c r="AT5" s="833"/>
      <c r="AU5" s="834"/>
      <c r="AV5" s="567">
        <f>P5+AF5+AL5+AM5+AP5+AO5+AT5</f>
        <v>0</v>
      </c>
      <c r="AW5" s="568"/>
      <c r="AY5" s="420"/>
      <c r="AZ5" s="420"/>
      <c r="BA5" s="421"/>
      <c r="BB5" s="421"/>
    </row>
    <row r="6" spans="1:57" s="4" customFormat="1" ht="21" customHeight="1" thickBot="1">
      <c r="A6" s="569" t="s">
        <v>221</v>
      </c>
      <c r="B6" s="570"/>
      <c r="C6" s="570"/>
      <c r="D6" s="570"/>
      <c r="E6" s="570"/>
      <c r="F6" s="570"/>
      <c r="G6" s="570"/>
      <c r="H6" s="570"/>
      <c r="I6" s="570"/>
      <c r="J6" s="570"/>
      <c r="K6" s="570"/>
      <c r="L6" s="570"/>
      <c r="M6" s="570"/>
      <c r="N6" s="570"/>
      <c r="O6" s="571"/>
      <c r="P6" s="572">
        <f t="shared" si="0"/>
        <v>0</v>
      </c>
      <c r="Q6" s="573" t="e">
        <f t="shared" si="1"/>
        <v>#DIV/0!</v>
      </c>
      <c r="R6" s="574"/>
      <c r="S6" s="570"/>
      <c r="T6" s="570"/>
      <c r="U6" s="571"/>
      <c r="V6" s="575"/>
      <c r="W6" s="571"/>
      <c r="X6" s="575"/>
      <c r="Y6" s="570"/>
      <c r="Z6" s="570"/>
      <c r="AA6" s="570"/>
      <c r="AB6" s="570"/>
      <c r="AC6" s="570"/>
      <c r="AD6" s="570"/>
      <c r="AE6" s="571"/>
      <c r="AF6" s="576">
        <f t="shared" si="2"/>
        <v>0</v>
      </c>
      <c r="AG6" s="574"/>
      <c r="AH6" s="570"/>
      <c r="AI6" s="570"/>
      <c r="AJ6" s="570"/>
      <c r="AK6" s="577"/>
      <c r="AL6" s="574">
        <f t="shared" ref="AL6:AL35" si="3">AG6+AK6+AH6</f>
        <v>0</v>
      </c>
      <c r="AM6" s="572"/>
      <c r="AN6" s="571"/>
      <c r="AO6" s="578"/>
      <c r="AP6" s="579"/>
      <c r="AQ6" s="574"/>
      <c r="AR6" s="570"/>
      <c r="AS6" s="571"/>
      <c r="AT6" s="831"/>
      <c r="AU6" s="832"/>
      <c r="AV6" s="580">
        <f t="shared" ref="AV6:AV35" si="4">P6+AF6+AL6+AM6+AP6+AO6+AT6</f>
        <v>0</v>
      </c>
      <c r="AW6" s="581"/>
      <c r="AY6" s="422"/>
      <c r="AZ6" s="422"/>
      <c r="BA6" s="423"/>
      <c r="BB6" s="423"/>
    </row>
    <row r="7" spans="1:57" s="4" customFormat="1" ht="21" customHeight="1">
      <c r="A7" s="569" t="s">
        <v>222</v>
      </c>
      <c r="B7" s="582"/>
      <c r="C7" s="582"/>
      <c r="D7" s="582"/>
      <c r="E7" s="582"/>
      <c r="F7" s="582"/>
      <c r="G7" s="582"/>
      <c r="H7" s="582"/>
      <c r="I7" s="582"/>
      <c r="J7" s="582"/>
      <c r="K7" s="582"/>
      <c r="L7" s="582"/>
      <c r="M7" s="582"/>
      <c r="N7" s="582"/>
      <c r="O7" s="583"/>
      <c r="P7" s="584">
        <f t="shared" si="0"/>
        <v>0</v>
      </c>
      <c r="Q7" s="585" t="e">
        <f t="shared" si="1"/>
        <v>#DIV/0!</v>
      </c>
      <c r="R7" s="586"/>
      <c r="S7" s="582"/>
      <c r="T7" s="582"/>
      <c r="U7" s="583"/>
      <c r="V7" s="587"/>
      <c r="W7" s="583"/>
      <c r="X7" s="587"/>
      <c r="Y7" s="582"/>
      <c r="Z7" s="582"/>
      <c r="AA7" s="582"/>
      <c r="AB7" s="582"/>
      <c r="AC7" s="582"/>
      <c r="AD7" s="582"/>
      <c r="AE7" s="583"/>
      <c r="AF7" s="588">
        <f t="shared" si="2"/>
        <v>0</v>
      </c>
      <c r="AG7" s="586"/>
      <c r="AH7" s="582"/>
      <c r="AI7" s="582"/>
      <c r="AJ7" s="582"/>
      <c r="AK7" s="589"/>
      <c r="AL7" s="586">
        <f t="shared" si="3"/>
        <v>0</v>
      </c>
      <c r="AM7" s="584"/>
      <c r="AN7" s="583"/>
      <c r="AO7" s="590"/>
      <c r="AP7" s="591"/>
      <c r="AQ7" s="586"/>
      <c r="AR7" s="582"/>
      <c r="AS7" s="583"/>
      <c r="AT7" s="761"/>
      <c r="AU7" s="762"/>
      <c r="AV7" s="592">
        <f t="shared" si="4"/>
        <v>0</v>
      </c>
      <c r="AW7" s="593"/>
      <c r="AY7" s="422"/>
      <c r="AZ7" s="422"/>
      <c r="BA7" s="423"/>
      <c r="BB7" s="423"/>
    </row>
    <row r="8" spans="1:57" s="6" customFormat="1" ht="21" customHeight="1">
      <c r="A8" s="569" t="s">
        <v>223</v>
      </c>
      <c r="B8" s="594"/>
      <c r="C8" s="594"/>
      <c r="D8" s="594"/>
      <c r="E8" s="594"/>
      <c r="F8" s="594"/>
      <c r="G8" s="594"/>
      <c r="H8" s="594"/>
      <c r="I8" s="594"/>
      <c r="J8" s="594"/>
      <c r="K8" s="594"/>
      <c r="L8" s="594"/>
      <c r="M8" s="594"/>
      <c r="N8" s="594"/>
      <c r="O8" s="595"/>
      <c r="P8" s="596">
        <f t="shared" si="0"/>
        <v>0</v>
      </c>
      <c r="Q8" s="597" t="e">
        <f t="shared" si="1"/>
        <v>#DIV/0!</v>
      </c>
      <c r="R8" s="598"/>
      <c r="S8" s="594"/>
      <c r="T8" s="594"/>
      <c r="U8" s="595"/>
      <c r="V8" s="599"/>
      <c r="W8" s="595"/>
      <c r="X8" s="599"/>
      <c r="Y8" s="594"/>
      <c r="Z8" s="594"/>
      <c r="AA8" s="594"/>
      <c r="AB8" s="594"/>
      <c r="AC8" s="594"/>
      <c r="AD8" s="594"/>
      <c r="AE8" s="595"/>
      <c r="AF8" s="600">
        <f t="shared" si="2"/>
        <v>0</v>
      </c>
      <c r="AG8" s="598"/>
      <c r="AH8" s="594"/>
      <c r="AI8" s="594"/>
      <c r="AJ8" s="594"/>
      <c r="AK8" s="601"/>
      <c r="AL8" s="598">
        <f t="shared" si="3"/>
        <v>0</v>
      </c>
      <c r="AM8" s="596"/>
      <c r="AN8" s="595"/>
      <c r="AO8" s="602"/>
      <c r="AP8" s="603"/>
      <c r="AQ8" s="598"/>
      <c r="AR8" s="594"/>
      <c r="AS8" s="595"/>
      <c r="AT8" s="755"/>
      <c r="AU8" s="756"/>
      <c r="AV8" s="604">
        <f t="shared" si="4"/>
        <v>0</v>
      </c>
      <c r="AW8" s="605"/>
      <c r="AY8" s="13"/>
      <c r="AZ8" s="13"/>
      <c r="BA8" s="424"/>
      <c r="BB8" s="424"/>
    </row>
    <row r="9" spans="1:57" s="123" customFormat="1" ht="21" customHeight="1">
      <c r="A9" s="569" t="s">
        <v>224</v>
      </c>
      <c r="B9" s="606"/>
      <c r="C9" s="606"/>
      <c r="D9" s="606"/>
      <c r="E9" s="606"/>
      <c r="F9" s="606"/>
      <c r="G9" s="606"/>
      <c r="H9" s="606"/>
      <c r="I9" s="606"/>
      <c r="J9" s="606"/>
      <c r="K9" s="606"/>
      <c r="L9" s="606"/>
      <c r="M9" s="594"/>
      <c r="N9" s="594"/>
      <c r="O9" s="595"/>
      <c r="P9" s="596">
        <f t="shared" si="0"/>
        <v>0</v>
      </c>
      <c r="Q9" s="597" t="e">
        <f t="shared" si="1"/>
        <v>#DIV/0!</v>
      </c>
      <c r="R9" s="598"/>
      <c r="S9" s="594"/>
      <c r="T9" s="594"/>
      <c r="U9" s="595"/>
      <c r="V9" s="599"/>
      <c r="W9" s="595"/>
      <c r="X9" s="599"/>
      <c r="Y9" s="594"/>
      <c r="Z9" s="594"/>
      <c r="AA9" s="594"/>
      <c r="AB9" s="594"/>
      <c r="AC9" s="594"/>
      <c r="AD9" s="594"/>
      <c r="AE9" s="595"/>
      <c r="AF9" s="600">
        <f t="shared" si="2"/>
        <v>0</v>
      </c>
      <c r="AG9" s="598"/>
      <c r="AH9" s="606"/>
      <c r="AI9" s="606"/>
      <c r="AJ9" s="606"/>
      <c r="AK9" s="607"/>
      <c r="AL9" s="598">
        <f t="shared" si="3"/>
        <v>0</v>
      </c>
      <c r="AM9" s="596"/>
      <c r="AN9" s="595"/>
      <c r="AO9" s="602"/>
      <c r="AP9" s="603"/>
      <c r="AQ9" s="598"/>
      <c r="AR9" s="594"/>
      <c r="AS9" s="595"/>
      <c r="AT9" s="755"/>
      <c r="AU9" s="756"/>
      <c r="AV9" s="604">
        <f t="shared" si="4"/>
        <v>0</v>
      </c>
      <c r="AW9" s="605"/>
      <c r="AY9" s="13"/>
      <c r="AZ9" s="13"/>
      <c r="BA9" s="424"/>
      <c r="BB9" s="424"/>
      <c r="BE9" s="4"/>
    </row>
    <row r="10" spans="1:57" s="5" customFormat="1" ht="21" customHeight="1">
      <c r="A10" s="569" t="s">
        <v>225</v>
      </c>
      <c r="B10" s="594"/>
      <c r="C10" s="594"/>
      <c r="D10" s="594"/>
      <c r="E10" s="594"/>
      <c r="F10" s="594"/>
      <c r="G10" s="594"/>
      <c r="H10" s="594"/>
      <c r="I10" s="594"/>
      <c r="J10" s="594"/>
      <c r="K10" s="594"/>
      <c r="L10" s="594"/>
      <c r="M10" s="594"/>
      <c r="N10" s="594"/>
      <c r="O10" s="595"/>
      <c r="P10" s="596">
        <f t="shared" si="0"/>
        <v>0</v>
      </c>
      <c r="Q10" s="597" t="e">
        <f t="shared" si="1"/>
        <v>#DIV/0!</v>
      </c>
      <c r="R10" s="598"/>
      <c r="S10" s="594"/>
      <c r="T10" s="594"/>
      <c r="U10" s="595"/>
      <c r="V10" s="599"/>
      <c r="W10" s="595"/>
      <c r="X10" s="599"/>
      <c r="Y10" s="594"/>
      <c r="Z10" s="594"/>
      <c r="AA10" s="594"/>
      <c r="AB10" s="594"/>
      <c r="AC10" s="594"/>
      <c r="AD10" s="594"/>
      <c r="AE10" s="595"/>
      <c r="AF10" s="600">
        <f t="shared" si="2"/>
        <v>0</v>
      </c>
      <c r="AG10" s="598"/>
      <c r="AH10" s="594"/>
      <c r="AI10" s="594"/>
      <c r="AJ10" s="594"/>
      <c r="AK10" s="601"/>
      <c r="AL10" s="598">
        <f t="shared" si="3"/>
        <v>0</v>
      </c>
      <c r="AM10" s="596"/>
      <c r="AN10" s="595"/>
      <c r="AO10" s="602"/>
      <c r="AP10" s="603"/>
      <c r="AQ10" s="598"/>
      <c r="AR10" s="594"/>
      <c r="AS10" s="595"/>
      <c r="AT10" s="755"/>
      <c r="AU10" s="756"/>
      <c r="AV10" s="604">
        <f t="shared" si="4"/>
        <v>0</v>
      </c>
      <c r="AW10" s="605"/>
      <c r="AY10" s="422"/>
      <c r="AZ10" s="420"/>
      <c r="BA10" s="421"/>
      <c r="BB10" s="421"/>
      <c r="BE10" s="4"/>
    </row>
    <row r="11" spans="1:57" s="4" customFormat="1" ht="21" customHeight="1">
      <c r="A11" s="552" t="s">
        <v>226</v>
      </c>
      <c r="B11" s="594"/>
      <c r="C11" s="594"/>
      <c r="D11" s="594"/>
      <c r="E11" s="594"/>
      <c r="F11" s="594"/>
      <c r="G11" s="594"/>
      <c r="H11" s="594"/>
      <c r="I11" s="594"/>
      <c r="J11" s="594"/>
      <c r="K11" s="594"/>
      <c r="L11" s="594"/>
      <c r="M11" s="594"/>
      <c r="N11" s="594"/>
      <c r="O11" s="595"/>
      <c r="P11" s="596">
        <f t="shared" si="0"/>
        <v>0</v>
      </c>
      <c r="Q11" s="597" t="e">
        <f t="shared" si="1"/>
        <v>#DIV/0!</v>
      </c>
      <c r="R11" s="598"/>
      <c r="S11" s="594"/>
      <c r="T11" s="594"/>
      <c r="U11" s="595"/>
      <c r="V11" s="599"/>
      <c r="W11" s="595"/>
      <c r="X11" s="599"/>
      <c r="Y11" s="594"/>
      <c r="Z11" s="594"/>
      <c r="AA11" s="594"/>
      <c r="AB11" s="594"/>
      <c r="AC11" s="594"/>
      <c r="AD11" s="594"/>
      <c r="AE11" s="595"/>
      <c r="AF11" s="600">
        <f t="shared" si="2"/>
        <v>0</v>
      </c>
      <c r="AG11" s="598"/>
      <c r="AH11" s="594"/>
      <c r="AI11" s="594"/>
      <c r="AJ11" s="594"/>
      <c r="AK11" s="601"/>
      <c r="AL11" s="598">
        <f t="shared" si="3"/>
        <v>0</v>
      </c>
      <c r="AM11" s="596"/>
      <c r="AN11" s="595"/>
      <c r="AO11" s="608"/>
      <c r="AP11" s="603"/>
      <c r="AQ11" s="598"/>
      <c r="AR11" s="594"/>
      <c r="AS11" s="595"/>
      <c r="AT11" s="755"/>
      <c r="AU11" s="756"/>
      <c r="AV11" s="604">
        <f t="shared" si="4"/>
        <v>0</v>
      </c>
      <c r="AW11" s="605"/>
      <c r="AY11" s="422"/>
      <c r="AZ11" s="13"/>
      <c r="BA11" s="423"/>
      <c r="BB11" s="423"/>
      <c r="BD11" s="6"/>
    </row>
    <row r="12" spans="1:57" s="5" customFormat="1" ht="21" customHeight="1">
      <c r="A12" s="553" t="s">
        <v>227</v>
      </c>
      <c r="B12" s="621"/>
      <c r="C12" s="621"/>
      <c r="D12" s="621"/>
      <c r="E12" s="621"/>
      <c r="F12" s="621"/>
      <c r="G12" s="621"/>
      <c r="H12" s="621"/>
      <c r="I12" s="621"/>
      <c r="J12" s="621"/>
      <c r="K12" s="621"/>
      <c r="L12" s="621"/>
      <c r="M12" s="621"/>
      <c r="N12" s="621"/>
      <c r="O12" s="622"/>
      <c r="P12" s="623">
        <f t="shared" si="0"/>
        <v>0</v>
      </c>
      <c r="Q12" s="624" t="e">
        <f t="shared" si="1"/>
        <v>#DIV/0!</v>
      </c>
      <c r="R12" s="625"/>
      <c r="S12" s="621"/>
      <c r="T12" s="621"/>
      <c r="U12" s="622"/>
      <c r="V12" s="626"/>
      <c r="W12" s="622"/>
      <c r="X12" s="626"/>
      <c r="Y12" s="621"/>
      <c r="Z12" s="621"/>
      <c r="AA12" s="621"/>
      <c r="AB12" s="621"/>
      <c r="AC12" s="621"/>
      <c r="AD12" s="621"/>
      <c r="AE12" s="622"/>
      <c r="AF12" s="627">
        <f t="shared" si="2"/>
        <v>0</v>
      </c>
      <c r="AG12" s="625"/>
      <c r="AH12" s="621"/>
      <c r="AI12" s="621"/>
      <c r="AJ12" s="621"/>
      <c r="AK12" s="628"/>
      <c r="AL12" s="625">
        <f t="shared" si="3"/>
        <v>0</v>
      </c>
      <c r="AM12" s="623"/>
      <c r="AN12" s="622"/>
      <c r="AO12" s="629"/>
      <c r="AP12" s="630"/>
      <c r="AQ12" s="625"/>
      <c r="AR12" s="621"/>
      <c r="AS12" s="622"/>
      <c r="AT12" s="835"/>
      <c r="AU12" s="836"/>
      <c r="AV12" s="631">
        <f t="shared" si="4"/>
        <v>0</v>
      </c>
      <c r="AW12" s="632"/>
      <c r="AY12" s="423"/>
      <c r="AZ12" s="422"/>
      <c r="BA12" s="421"/>
      <c r="BB12" s="421"/>
    </row>
    <row r="13" spans="1:57" s="4" customFormat="1" ht="21" customHeight="1" thickBot="1">
      <c r="A13" s="569" t="s">
        <v>228</v>
      </c>
      <c r="B13" s="570"/>
      <c r="C13" s="570"/>
      <c r="D13" s="570"/>
      <c r="E13" s="570"/>
      <c r="F13" s="570"/>
      <c r="G13" s="570"/>
      <c r="H13" s="570"/>
      <c r="I13" s="570"/>
      <c r="J13" s="570"/>
      <c r="K13" s="570"/>
      <c r="L13" s="570"/>
      <c r="M13" s="570"/>
      <c r="N13" s="570"/>
      <c r="O13" s="571"/>
      <c r="P13" s="572">
        <f t="shared" si="0"/>
        <v>0</v>
      </c>
      <c r="Q13" s="573" t="e">
        <f t="shared" si="1"/>
        <v>#DIV/0!</v>
      </c>
      <c r="R13" s="574"/>
      <c r="S13" s="570"/>
      <c r="T13" s="570"/>
      <c r="U13" s="571"/>
      <c r="V13" s="575"/>
      <c r="W13" s="571"/>
      <c r="X13" s="575"/>
      <c r="Y13" s="570"/>
      <c r="Z13" s="570"/>
      <c r="AA13" s="570"/>
      <c r="AB13" s="570"/>
      <c r="AC13" s="570"/>
      <c r="AD13" s="570"/>
      <c r="AE13" s="571"/>
      <c r="AF13" s="576">
        <f t="shared" si="2"/>
        <v>0</v>
      </c>
      <c r="AG13" s="574"/>
      <c r="AH13" s="570"/>
      <c r="AI13" s="570"/>
      <c r="AJ13" s="570"/>
      <c r="AK13" s="577"/>
      <c r="AL13" s="574">
        <f t="shared" si="3"/>
        <v>0</v>
      </c>
      <c r="AM13" s="572"/>
      <c r="AN13" s="571"/>
      <c r="AO13" s="578"/>
      <c r="AP13" s="579"/>
      <c r="AQ13" s="574"/>
      <c r="AR13" s="570"/>
      <c r="AS13" s="571"/>
      <c r="AT13" s="831"/>
      <c r="AU13" s="832"/>
      <c r="AV13" s="580">
        <f t="shared" si="4"/>
        <v>0</v>
      </c>
      <c r="AW13" s="581"/>
      <c r="AY13" s="13"/>
      <c r="AZ13" s="423"/>
      <c r="BA13" s="423"/>
      <c r="BB13" s="423"/>
    </row>
    <row r="14" spans="1:57" s="4" customFormat="1" ht="21" customHeight="1">
      <c r="A14" s="569" t="s">
        <v>229</v>
      </c>
      <c r="B14" s="582"/>
      <c r="C14" s="582"/>
      <c r="D14" s="582"/>
      <c r="E14" s="582"/>
      <c r="F14" s="582"/>
      <c r="G14" s="582"/>
      <c r="H14" s="582"/>
      <c r="I14" s="582"/>
      <c r="J14" s="582"/>
      <c r="K14" s="582"/>
      <c r="L14" s="582"/>
      <c r="M14" s="582"/>
      <c r="N14" s="582"/>
      <c r="O14" s="583"/>
      <c r="P14" s="584">
        <f t="shared" si="0"/>
        <v>0</v>
      </c>
      <c r="Q14" s="585" t="e">
        <f t="shared" si="1"/>
        <v>#DIV/0!</v>
      </c>
      <c r="R14" s="586"/>
      <c r="S14" s="582"/>
      <c r="T14" s="582"/>
      <c r="U14" s="583"/>
      <c r="V14" s="587"/>
      <c r="W14" s="583"/>
      <c r="X14" s="587"/>
      <c r="Y14" s="582"/>
      <c r="Z14" s="582"/>
      <c r="AA14" s="582"/>
      <c r="AB14" s="582"/>
      <c r="AC14" s="582"/>
      <c r="AD14" s="582"/>
      <c r="AE14" s="583"/>
      <c r="AF14" s="588">
        <f t="shared" si="2"/>
        <v>0</v>
      </c>
      <c r="AG14" s="586"/>
      <c r="AH14" s="582"/>
      <c r="AI14" s="582"/>
      <c r="AJ14" s="582"/>
      <c r="AK14" s="589"/>
      <c r="AL14" s="586">
        <f t="shared" si="3"/>
        <v>0</v>
      </c>
      <c r="AM14" s="584"/>
      <c r="AN14" s="583"/>
      <c r="AO14" s="590"/>
      <c r="AP14" s="591"/>
      <c r="AQ14" s="586"/>
      <c r="AR14" s="582"/>
      <c r="AS14" s="583"/>
      <c r="AT14" s="761"/>
      <c r="AU14" s="762"/>
      <c r="AV14" s="592">
        <f t="shared" si="4"/>
        <v>0</v>
      </c>
      <c r="AW14" s="593"/>
      <c r="AY14" s="13"/>
      <c r="AZ14" s="423"/>
      <c r="BA14" s="423"/>
      <c r="BB14" s="423"/>
    </row>
    <row r="15" spans="1:57" s="6" customFormat="1" ht="21" customHeight="1">
      <c r="A15" s="569" t="s">
        <v>230</v>
      </c>
      <c r="B15" s="594"/>
      <c r="C15" s="594"/>
      <c r="D15" s="594"/>
      <c r="E15" s="594"/>
      <c r="F15" s="594"/>
      <c r="G15" s="594"/>
      <c r="H15" s="594"/>
      <c r="I15" s="594"/>
      <c r="J15" s="594"/>
      <c r="K15" s="594"/>
      <c r="L15" s="594"/>
      <c r="M15" s="594"/>
      <c r="N15" s="594"/>
      <c r="O15" s="595"/>
      <c r="P15" s="596">
        <f t="shared" si="0"/>
        <v>0</v>
      </c>
      <c r="Q15" s="597" t="e">
        <f t="shared" si="1"/>
        <v>#DIV/0!</v>
      </c>
      <c r="R15" s="598"/>
      <c r="S15" s="594"/>
      <c r="T15" s="594"/>
      <c r="U15" s="595"/>
      <c r="V15" s="599"/>
      <c r="W15" s="595"/>
      <c r="X15" s="599"/>
      <c r="Y15" s="594"/>
      <c r="Z15" s="594"/>
      <c r="AA15" s="594"/>
      <c r="AB15" s="594"/>
      <c r="AC15" s="594"/>
      <c r="AD15" s="594"/>
      <c r="AE15" s="595"/>
      <c r="AF15" s="600">
        <f t="shared" si="2"/>
        <v>0</v>
      </c>
      <c r="AG15" s="598"/>
      <c r="AH15" s="594"/>
      <c r="AI15" s="594"/>
      <c r="AJ15" s="594"/>
      <c r="AK15" s="601"/>
      <c r="AL15" s="598">
        <f t="shared" si="3"/>
        <v>0</v>
      </c>
      <c r="AM15" s="596"/>
      <c r="AN15" s="595"/>
      <c r="AO15" s="602"/>
      <c r="AP15" s="603"/>
      <c r="AQ15" s="598"/>
      <c r="AR15" s="594"/>
      <c r="AS15" s="595"/>
      <c r="AT15" s="755"/>
      <c r="AU15" s="756"/>
      <c r="AV15" s="604">
        <f t="shared" si="4"/>
        <v>0</v>
      </c>
      <c r="AW15" s="605"/>
      <c r="AY15" s="422"/>
      <c r="AZ15" s="4"/>
      <c r="BA15" s="424"/>
      <c r="BB15" s="424"/>
      <c r="BC15" s="123"/>
      <c r="BD15" s="123"/>
      <c r="BE15" s="123"/>
    </row>
    <row r="16" spans="1:57" s="123" customFormat="1" ht="21" customHeight="1">
      <c r="A16" s="569" t="s">
        <v>231</v>
      </c>
      <c r="B16" s="594"/>
      <c r="C16" s="594"/>
      <c r="D16" s="594"/>
      <c r="E16" s="594"/>
      <c r="F16" s="594"/>
      <c r="G16" s="594"/>
      <c r="H16" s="594"/>
      <c r="I16" s="594"/>
      <c r="J16" s="594"/>
      <c r="K16" s="594"/>
      <c r="L16" s="594"/>
      <c r="M16" s="594"/>
      <c r="N16" s="594"/>
      <c r="O16" s="595"/>
      <c r="P16" s="596">
        <f t="shared" si="0"/>
        <v>0</v>
      </c>
      <c r="Q16" s="597" t="e">
        <f t="shared" si="1"/>
        <v>#DIV/0!</v>
      </c>
      <c r="R16" s="598"/>
      <c r="S16" s="594"/>
      <c r="T16" s="594"/>
      <c r="U16" s="595"/>
      <c r="V16" s="599"/>
      <c r="W16" s="595"/>
      <c r="X16" s="599"/>
      <c r="Y16" s="594"/>
      <c r="Z16" s="594"/>
      <c r="AA16" s="594"/>
      <c r="AB16" s="594"/>
      <c r="AC16" s="594"/>
      <c r="AD16" s="594"/>
      <c r="AE16" s="595"/>
      <c r="AF16" s="600">
        <f t="shared" si="2"/>
        <v>0</v>
      </c>
      <c r="AG16" s="598"/>
      <c r="AH16" s="594"/>
      <c r="AI16" s="594"/>
      <c r="AJ16" s="594"/>
      <c r="AK16" s="601"/>
      <c r="AL16" s="598">
        <f t="shared" si="3"/>
        <v>0</v>
      </c>
      <c r="AM16" s="596"/>
      <c r="AN16" s="595"/>
      <c r="AO16" s="602"/>
      <c r="AP16" s="603"/>
      <c r="AQ16" s="598"/>
      <c r="AR16" s="594"/>
      <c r="AS16" s="595"/>
      <c r="AT16" s="755"/>
      <c r="AU16" s="756"/>
      <c r="AV16" s="604">
        <f t="shared" si="4"/>
        <v>0</v>
      </c>
      <c r="AW16" s="605"/>
      <c r="AY16" s="422"/>
      <c r="AZ16" s="4"/>
      <c r="BA16" s="424"/>
      <c r="BB16" s="424"/>
    </row>
    <row r="17" spans="1:58" s="5" customFormat="1" ht="21" customHeight="1">
      <c r="A17" s="569" t="s">
        <v>232</v>
      </c>
      <c r="B17" s="594"/>
      <c r="C17" s="594"/>
      <c r="D17" s="594"/>
      <c r="E17" s="594"/>
      <c r="F17" s="594"/>
      <c r="G17" s="594"/>
      <c r="H17" s="594"/>
      <c r="I17" s="594"/>
      <c r="J17" s="594"/>
      <c r="K17" s="594"/>
      <c r="L17" s="594"/>
      <c r="M17" s="594"/>
      <c r="N17" s="594"/>
      <c r="O17" s="595"/>
      <c r="P17" s="596">
        <f t="shared" si="0"/>
        <v>0</v>
      </c>
      <c r="Q17" s="597" t="e">
        <f t="shared" si="1"/>
        <v>#DIV/0!</v>
      </c>
      <c r="R17" s="598"/>
      <c r="S17" s="594"/>
      <c r="T17" s="594"/>
      <c r="U17" s="595"/>
      <c r="V17" s="599"/>
      <c r="W17" s="595"/>
      <c r="X17" s="599"/>
      <c r="Y17" s="594"/>
      <c r="Z17" s="594"/>
      <c r="AA17" s="594"/>
      <c r="AB17" s="594"/>
      <c r="AC17" s="594"/>
      <c r="AD17" s="594"/>
      <c r="AE17" s="595"/>
      <c r="AF17" s="600">
        <f t="shared" si="2"/>
        <v>0</v>
      </c>
      <c r="AG17" s="598"/>
      <c r="AH17" s="594"/>
      <c r="AI17" s="594"/>
      <c r="AJ17" s="594"/>
      <c r="AK17" s="601"/>
      <c r="AL17" s="598">
        <f t="shared" si="3"/>
        <v>0</v>
      </c>
      <c r="AM17" s="596"/>
      <c r="AN17" s="595"/>
      <c r="AO17" s="602"/>
      <c r="AP17" s="603"/>
      <c r="AQ17" s="598"/>
      <c r="AR17" s="594"/>
      <c r="AS17" s="595"/>
      <c r="AT17" s="755"/>
      <c r="AU17" s="756"/>
      <c r="AV17" s="604">
        <f t="shared" si="4"/>
        <v>0</v>
      </c>
      <c r="AW17" s="605"/>
      <c r="AY17" s="421"/>
      <c r="AZ17" s="4"/>
      <c r="BA17" s="421"/>
      <c r="BB17" s="421"/>
      <c r="BC17" s="123"/>
    </row>
    <row r="18" spans="1:58" s="4" customFormat="1" ht="21" customHeight="1">
      <c r="A18" s="552" t="s">
        <v>233</v>
      </c>
      <c r="B18" s="594"/>
      <c r="C18" s="594"/>
      <c r="D18" s="594"/>
      <c r="E18" s="594"/>
      <c r="F18" s="594"/>
      <c r="G18" s="594"/>
      <c r="H18" s="594"/>
      <c r="I18" s="594"/>
      <c r="J18" s="594"/>
      <c r="K18" s="594"/>
      <c r="L18" s="594"/>
      <c r="M18" s="594"/>
      <c r="N18" s="594"/>
      <c r="O18" s="595"/>
      <c r="P18" s="596">
        <f t="shared" si="0"/>
        <v>0</v>
      </c>
      <c r="Q18" s="597" t="e">
        <f t="shared" si="1"/>
        <v>#DIV/0!</v>
      </c>
      <c r="R18" s="598"/>
      <c r="S18" s="594"/>
      <c r="T18" s="594"/>
      <c r="U18" s="595"/>
      <c r="V18" s="599"/>
      <c r="W18" s="595"/>
      <c r="X18" s="599"/>
      <c r="Y18" s="594"/>
      <c r="Z18" s="594"/>
      <c r="AA18" s="594"/>
      <c r="AB18" s="594"/>
      <c r="AC18" s="594"/>
      <c r="AD18" s="594"/>
      <c r="AE18" s="595"/>
      <c r="AF18" s="600">
        <f t="shared" si="2"/>
        <v>0</v>
      </c>
      <c r="AG18" s="598"/>
      <c r="AH18" s="594"/>
      <c r="AI18" s="594"/>
      <c r="AJ18" s="594"/>
      <c r="AK18" s="601"/>
      <c r="AL18" s="598">
        <f t="shared" si="3"/>
        <v>0</v>
      </c>
      <c r="AM18" s="596"/>
      <c r="AN18" s="595"/>
      <c r="AO18" s="602"/>
      <c r="AP18" s="603"/>
      <c r="AQ18" s="598"/>
      <c r="AR18" s="594"/>
      <c r="AS18" s="595"/>
      <c r="AT18" s="755"/>
      <c r="AU18" s="756"/>
      <c r="AV18" s="604">
        <f t="shared" si="4"/>
        <v>0</v>
      </c>
      <c r="AW18" s="605"/>
      <c r="AY18" s="421"/>
      <c r="AZ18" s="424"/>
      <c r="BA18" s="423"/>
      <c r="BB18" s="423"/>
      <c r="BC18" s="123"/>
      <c r="BD18" s="123"/>
    </row>
    <row r="19" spans="1:58" s="5" customFormat="1" ht="21" customHeight="1">
      <c r="A19" s="553" t="s">
        <v>234</v>
      </c>
      <c r="B19" s="621"/>
      <c r="C19" s="621"/>
      <c r="D19" s="621"/>
      <c r="E19" s="636"/>
      <c r="F19" s="636"/>
      <c r="G19" s="636"/>
      <c r="H19" s="636"/>
      <c r="I19" s="636"/>
      <c r="J19" s="636"/>
      <c r="K19" s="636"/>
      <c r="L19" s="636"/>
      <c r="M19" s="636"/>
      <c r="N19" s="636"/>
      <c r="O19" s="637"/>
      <c r="P19" s="623">
        <f t="shared" si="0"/>
        <v>0</v>
      </c>
      <c r="Q19" s="624" t="e">
        <f t="shared" si="1"/>
        <v>#DIV/0!</v>
      </c>
      <c r="R19" s="638"/>
      <c r="S19" s="621"/>
      <c r="T19" s="621"/>
      <c r="U19" s="622"/>
      <c r="V19" s="626"/>
      <c r="W19" s="622"/>
      <c r="X19" s="626"/>
      <c r="Y19" s="621"/>
      <c r="Z19" s="621"/>
      <c r="AA19" s="621"/>
      <c r="AB19" s="621"/>
      <c r="AC19" s="621"/>
      <c r="AD19" s="621"/>
      <c r="AE19" s="622"/>
      <c r="AF19" s="627">
        <f t="shared" si="2"/>
        <v>0</v>
      </c>
      <c r="AG19" s="625"/>
      <c r="AH19" s="621"/>
      <c r="AI19" s="621"/>
      <c r="AJ19" s="621"/>
      <c r="AK19" s="628"/>
      <c r="AL19" s="625">
        <f t="shared" si="3"/>
        <v>0</v>
      </c>
      <c r="AM19" s="623"/>
      <c r="AN19" s="622"/>
      <c r="AO19" s="629"/>
      <c r="AP19" s="630"/>
      <c r="AQ19" s="625"/>
      <c r="AR19" s="621"/>
      <c r="AS19" s="622"/>
      <c r="AT19" s="835"/>
      <c r="AU19" s="836"/>
      <c r="AV19" s="631">
        <f t="shared" si="4"/>
        <v>0</v>
      </c>
      <c r="AW19" s="632"/>
      <c r="AY19" s="421"/>
      <c r="AZ19" s="424"/>
      <c r="BA19" s="421"/>
      <c r="BB19" s="421"/>
    </row>
    <row r="20" spans="1:58" s="4" customFormat="1" ht="21" customHeight="1" thickBot="1">
      <c r="A20" s="569" t="s">
        <v>235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1"/>
      <c r="P20" s="572">
        <f t="shared" si="0"/>
        <v>0</v>
      </c>
      <c r="Q20" s="573" t="e">
        <f t="shared" si="1"/>
        <v>#DIV/0!</v>
      </c>
      <c r="R20" s="574"/>
      <c r="S20" s="570"/>
      <c r="T20" s="570"/>
      <c r="U20" s="571"/>
      <c r="V20" s="575"/>
      <c r="W20" s="571"/>
      <c r="X20" s="575"/>
      <c r="Y20" s="570"/>
      <c r="Z20" s="570"/>
      <c r="AA20" s="570"/>
      <c r="AB20" s="570"/>
      <c r="AC20" s="570"/>
      <c r="AD20" s="570"/>
      <c r="AE20" s="571"/>
      <c r="AF20" s="576">
        <f t="shared" si="2"/>
        <v>0</v>
      </c>
      <c r="AG20" s="574"/>
      <c r="AH20" s="570"/>
      <c r="AI20" s="570"/>
      <c r="AJ20" s="570"/>
      <c r="AK20" s="577"/>
      <c r="AL20" s="574">
        <f t="shared" si="3"/>
        <v>0</v>
      </c>
      <c r="AM20" s="572"/>
      <c r="AN20" s="571"/>
      <c r="AO20" s="578"/>
      <c r="AP20" s="579"/>
      <c r="AQ20" s="574"/>
      <c r="AR20" s="570"/>
      <c r="AS20" s="571"/>
      <c r="AT20" s="831"/>
      <c r="AU20" s="832"/>
      <c r="AV20" s="580">
        <f t="shared" si="4"/>
        <v>0</v>
      </c>
      <c r="AW20" s="581"/>
      <c r="AZ20" s="123"/>
      <c r="BA20" s="423"/>
      <c r="BB20" s="423"/>
    </row>
    <row r="21" spans="1:58" s="4" customFormat="1" ht="21" customHeight="1">
      <c r="A21" s="569" t="s">
        <v>236</v>
      </c>
      <c r="B21" s="582"/>
      <c r="C21" s="582"/>
      <c r="D21" s="582"/>
      <c r="E21" s="582"/>
      <c r="F21" s="582"/>
      <c r="G21" s="582"/>
      <c r="H21" s="582"/>
      <c r="I21" s="582"/>
      <c r="J21" s="582"/>
      <c r="K21" s="582"/>
      <c r="L21" s="582"/>
      <c r="M21" s="582"/>
      <c r="N21" s="582"/>
      <c r="O21" s="583"/>
      <c r="P21" s="584">
        <f t="shared" si="0"/>
        <v>0</v>
      </c>
      <c r="Q21" s="585" t="e">
        <f t="shared" si="1"/>
        <v>#DIV/0!</v>
      </c>
      <c r="R21" s="586"/>
      <c r="S21" s="582"/>
      <c r="T21" s="582"/>
      <c r="U21" s="583"/>
      <c r="V21" s="587"/>
      <c r="W21" s="583"/>
      <c r="X21" s="587"/>
      <c r="Y21" s="582"/>
      <c r="Z21" s="582"/>
      <c r="AA21" s="582"/>
      <c r="AB21" s="582"/>
      <c r="AC21" s="582"/>
      <c r="AD21" s="582"/>
      <c r="AE21" s="583"/>
      <c r="AF21" s="588">
        <f t="shared" si="2"/>
        <v>0</v>
      </c>
      <c r="AG21" s="586"/>
      <c r="AH21" s="582"/>
      <c r="AI21" s="582"/>
      <c r="AJ21" s="582"/>
      <c r="AK21" s="639"/>
      <c r="AL21" s="586">
        <f t="shared" si="3"/>
        <v>0</v>
      </c>
      <c r="AM21" s="584"/>
      <c r="AN21" s="583"/>
      <c r="AO21" s="590"/>
      <c r="AP21" s="591"/>
      <c r="AQ21" s="586"/>
      <c r="AR21" s="582"/>
      <c r="AS21" s="583"/>
      <c r="AT21" s="761"/>
      <c r="AU21" s="762"/>
      <c r="AV21" s="592">
        <f t="shared" si="4"/>
        <v>0</v>
      </c>
      <c r="AW21" s="593"/>
      <c r="AY21" s="422"/>
      <c r="AZ21" s="421"/>
      <c r="BA21" s="423"/>
      <c r="BB21" s="423"/>
      <c r="BC21" s="123"/>
      <c r="BD21" s="123"/>
    </row>
    <row r="22" spans="1:58" s="6" customFormat="1" ht="21" customHeight="1">
      <c r="A22" s="569" t="s">
        <v>237</v>
      </c>
      <c r="B22" s="594"/>
      <c r="C22" s="594"/>
      <c r="D22" s="594"/>
      <c r="E22" s="640"/>
      <c r="F22" s="594"/>
      <c r="G22" s="594"/>
      <c r="H22" s="594"/>
      <c r="I22" s="594"/>
      <c r="J22" s="594"/>
      <c r="K22" s="594"/>
      <c r="L22" s="594"/>
      <c r="M22" s="594"/>
      <c r="N22" s="594"/>
      <c r="O22" s="595"/>
      <c r="P22" s="596">
        <f t="shared" si="0"/>
        <v>0</v>
      </c>
      <c r="Q22" s="597" t="e">
        <f t="shared" si="1"/>
        <v>#DIV/0!</v>
      </c>
      <c r="R22" s="598"/>
      <c r="S22" s="594"/>
      <c r="T22" s="594"/>
      <c r="U22" s="595"/>
      <c r="V22" s="599"/>
      <c r="W22" s="595"/>
      <c r="X22" s="599"/>
      <c r="Y22" s="594"/>
      <c r="Z22" s="594"/>
      <c r="AA22" s="594"/>
      <c r="AB22" s="594"/>
      <c r="AC22" s="594"/>
      <c r="AD22" s="594"/>
      <c r="AE22" s="595"/>
      <c r="AF22" s="600">
        <f t="shared" si="2"/>
        <v>0</v>
      </c>
      <c r="AG22" s="598"/>
      <c r="AH22" s="594"/>
      <c r="AI22" s="594"/>
      <c r="AJ22" s="594"/>
      <c r="AK22" s="601"/>
      <c r="AL22" s="598">
        <f t="shared" si="3"/>
        <v>0</v>
      </c>
      <c r="AM22" s="596"/>
      <c r="AN22" s="595"/>
      <c r="AO22" s="602"/>
      <c r="AP22" s="603"/>
      <c r="AQ22" s="598"/>
      <c r="AR22" s="594"/>
      <c r="AS22" s="595"/>
      <c r="AT22" s="755"/>
      <c r="AU22" s="756"/>
      <c r="AV22" s="604">
        <f t="shared" si="4"/>
        <v>0</v>
      </c>
      <c r="AW22" s="605"/>
      <c r="AX22" s="4"/>
      <c r="AY22" s="13"/>
      <c r="AZ22" s="425"/>
      <c r="BA22" s="425"/>
      <c r="BB22" s="425"/>
      <c r="BC22" s="123"/>
      <c r="BD22" s="123"/>
      <c r="BE22" s="4"/>
    </row>
    <row r="23" spans="1:58" s="123" customFormat="1" ht="21" customHeight="1">
      <c r="A23" s="569" t="s">
        <v>238</v>
      </c>
      <c r="B23" s="594"/>
      <c r="C23" s="594"/>
      <c r="D23" s="594"/>
      <c r="E23" s="594"/>
      <c r="F23" s="594"/>
      <c r="G23" s="594"/>
      <c r="H23" s="594"/>
      <c r="I23" s="594"/>
      <c r="J23" s="594"/>
      <c r="K23" s="594"/>
      <c r="L23" s="594"/>
      <c r="M23" s="594"/>
      <c r="N23" s="594"/>
      <c r="O23" s="595"/>
      <c r="P23" s="596">
        <f t="shared" si="0"/>
        <v>0</v>
      </c>
      <c r="Q23" s="597" t="e">
        <f t="shared" si="1"/>
        <v>#DIV/0!</v>
      </c>
      <c r="R23" s="598"/>
      <c r="S23" s="594"/>
      <c r="T23" s="594"/>
      <c r="U23" s="595"/>
      <c r="V23" s="599"/>
      <c r="W23" s="595"/>
      <c r="X23" s="599"/>
      <c r="Y23" s="594"/>
      <c r="Z23" s="594"/>
      <c r="AA23" s="594"/>
      <c r="AB23" s="594"/>
      <c r="AC23" s="594"/>
      <c r="AD23" s="594"/>
      <c r="AE23" s="595"/>
      <c r="AF23" s="600">
        <f t="shared" si="2"/>
        <v>0</v>
      </c>
      <c r="AG23" s="598"/>
      <c r="AH23" s="594"/>
      <c r="AI23" s="594"/>
      <c r="AJ23" s="594"/>
      <c r="AK23" s="601"/>
      <c r="AL23" s="598">
        <f t="shared" si="3"/>
        <v>0</v>
      </c>
      <c r="AM23" s="596"/>
      <c r="AN23" s="595"/>
      <c r="AO23" s="602"/>
      <c r="AP23" s="603"/>
      <c r="AQ23" s="598"/>
      <c r="AR23" s="594"/>
      <c r="AS23" s="595"/>
      <c r="AT23" s="755"/>
      <c r="AU23" s="756"/>
      <c r="AV23" s="604">
        <f t="shared" si="4"/>
        <v>0</v>
      </c>
      <c r="AW23" s="605"/>
      <c r="AY23" s="13"/>
      <c r="AZ23" s="421"/>
      <c r="BA23" s="424"/>
      <c r="BB23" s="424"/>
      <c r="BE23" s="4"/>
    </row>
    <row r="24" spans="1:58" s="5" customFormat="1" ht="21" customHeight="1">
      <c r="A24" s="569" t="s">
        <v>239</v>
      </c>
      <c r="B24" s="594"/>
      <c r="C24" s="594"/>
      <c r="D24" s="594"/>
      <c r="E24" s="594"/>
      <c r="F24" s="594"/>
      <c r="G24" s="594"/>
      <c r="H24" s="594"/>
      <c r="I24" s="594"/>
      <c r="J24" s="594"/>
      <c r="K24" s="594"/>
      <c r="L24" s="594"/>
      <c r="M24" s="594"/>
      <c r="N24" s="594"/>
      <c r="O24" s="595"/>
      <c r="P24" s="596">
        <f t="shared" si="0"/>
        <v>0</v>
      </c>
      <c r="Q24" s="597" t="e">
        <f t="shared" si="1"/>
        <v>#DIV/0!</v>
      </c>
      <c r="R24" s="598"/>
      <c r="S24" s="594"/>
      <c r="T24" s="594"/>
      <c r="U24" s="595"/>
      <c r="V24" s="599"/>
      <c r="W24" s="595"/>
      <c r="X24" s="599"/>
      <c r="Y24" s="594"/>
      <c r="Z24" s="594"/>
      <c r="AA24" s="594"/>
      <c r="AB24" s="594"/>
      <c r="AC24" s="594"/>
      <c r="AD24" s="594"/>
      <c r="AE24" s="595"/>
      <c r="AF24" s="600">
        <f t="shared" si="2"/>
        <v>0</v>
      </c>
      <c r="AG24" s="598"/>
      <c r="AH24" s="594"/>
      <c r="AI24" s="594"/>
      <c r="AJ24" s="594"/>
      <c r="AK24" s="601"/>
      <c r="AL24" s="598">
        <f t="shared" si="3"/>
        <v>0</v>
      </c>
      <c r="AM24" s="596"/>
      <c r="AN24" s="595"/>
      <c r="AO24" s="602"/>
      <c r="AP24" s="603"/>
      <c r="AQ24" s="598"/>
      <c r="AR24" s="594"/>
      <c r="AS24" s="595"/>
      <c r="AT24" s="755"/>
      <c r="AU24" s="756"/>
      <c r="AV24" s="604">
        <f t="shared" si="4"/>
        <v>0</v>
      </c>
      <c r="AW24" s="605"/>
      <c r="AY24" s="422"/>
      <c r="AZ24" s="420"/>
      <c r="BA24" s="426"/>
      <c r="BB24" s="421"/>
      <c r="BD24" s="123"/>
    </row>
    <row r="25" spans="1:58" s="4" customFormat="1" ht="21" customHeight="1">
      <c r="A25" s="552" t="s">
        <v>240</v>
      </c>
      <c r="B25" s="594"/>
      <c r="C25" s="594"/>
      <c r="D25" s="594"/>
      <c r="E25" s="594"/>
      <c r="F25" s="594"/>
      <c r="G25" s="594"/>
      <c r="H25" s="594"/>
      <c r="I25" s="594"/>
      <c r="J25" s="594"/>
      <c r="K25" s="594"/>
      <c r="L25" s="594"/>
      <c r="M25" s="594"/>
      <c r="N25" s="594"/>
      <c r="O25" s="595"/>
      <c r="P25" s="596">
        <f t="shared" si="0"/>
        <v>0</v>
      </c>
      <c r="Q25" s="597" t="e">
        <f t="shared" si="1"/>
        <v>#DIV/0!</v>
      </c>
      <c r="R25" s="598"/>
      <c r="S25" s="594"/>
      <c r="T25" s="594"/>
      <c r="U25" s="595"/>
      <c r="V25" s="599"/>
      <c r="W25" s="595"/>
      <c r="X25" s="599"/>
      <c r="Y25" s="594"/>
      <c r="Z25" s="594"/>
      <c r="AA25" s="594"/>
      <c r="AB25" s="594"/>
      <c r="AC25" s="594"/>
      <c r="AD25" s="594"/>
      <c r="AE25" s="595"/>
      <c r="AF25" s="600">
        <f t="shared" si="2"/>
        <v>0</v>
      </c>
      <c r="AG25" s="598"/>
      <c r="AH25" s="594"/>
      <c r="AI25" s="594"/>
      <c r="AJ25" s="594"/>
      <c r="AK25" s="601"/>
      <c r="AL25" s="598">
        <f t="shared" si="3"/>
        <v>0</v>
      </c>
      <c r="AM25" s="596"/>
      <c r="AN25" s="595"/>
      <c r="AO25" s="602"/>
      <c r="AP25" s="603"/>
      <c r="AQ25" s="598"/>
      <c r="AR25" s="594"/>
      <c r="AS25" s="595"/>
      <c r="AT25" s="755"/>
      <c r="AU25" s="756"/>
      <c r="AV25" s="604">
        <f t="shared" si="4"/>
        <v>0</v>
      </c>
      <c r="AW25" s="605"/>
      <c r="AY25" s="13"/>
      <c r="AZ25" s="13"/>
      <c r="BA25" s="427"/>
      <c r="BB25" s="423"/>
      <c r="BD25" s="123"/>
    </row>
    <row r="26" spans="1:58" s="5" customFormat="1" ht="21" customHeight="1">
      <c r="A26" s="553" t="s">
        <v>241</v>
      </c>
      <c r="B26" s="621"/>
      <c r="C26" s="621"/>
      <c r="D26" s="621"/>
      <c r="E26" s="621"/>
      <c r="F26" s="621"/>
      <c r="G26" s="621"/>
      <c r="H26" s="621"/>
      <c r="I26" s="621"/>
      <c r="J26" s="621"/>
      <c r="K26" s="621"/>
      <c r="L26" s="621"/>
      <c r="M26" s="621"/>
      <c r="N26" s="621"/>
      <c r="O26" s="622"/>
      <c r="P26" s="623">
        <f t="shared" si="0"/>
        <v>0</v>
      </c>
      <c r="Q26" s="624" t="e">
        <f t="shared" si="1"/>
        <v>#DIV/0!</v>
      </c>
      <c r="R26" s="625"/>
      <c r="S26" s="621"/>
      <c r="T26" s="621"/>
      <c r="U26" s="622"/>
      <c r="V26" s="626"/>
      <c r="W26" s="622"/>
      <c r="X26" s="626"/>
      <c r="Y26" s="621"/>
      <c r="Z26" s="621"/>
      <c r="AA26" s="621"/>
      <c r="AB26" s="621"/>
      <c r="AC26" s="621"/>
      <c r="AD26" s="621"/>
      <c r="AE26" s="622"/>
      <c r="AF26" s="627">
        <f t="shared" si="2"/>
        <v>0</v>
      </c>
      <c r="AG26" s="625"/>
      <c r="AH26" s="621"/>
      <c r="AI26" s="621"/>
      <c r="AJ26" s="621"/>
      <c r="AK26" s="628"/>
      <c r="AL26" s="625">
        <f t="shared" si="3"/>
        <v>0</v>
      </c>
      <c r="AM26" s="623"/>
      <c r="AN26" s="622"/>
      <c r="AO26" s="629"/>
      <c r="AP26" s="630"/>
      <c r="AQ26" s="625"/>
      <c r="AR26" s="621"/>
      <c r="AS26" s="622"/>
      <c r="AT26" s="835"/>
      <c r="AU26" s="836"/>
      <c r="AV26" s="631">
        <f t="shared" si="4"/>
        <v>0</v>
      </c>
      <c r="AW26" s="632"/>
      <c r="AY26" s="13"/>
      <c r="AZ26" s="421"/>
      <c r="BA26" s="428"/>
      <c r="BB26" s="429"/>
      <c r="BC26" s="430"/>
      <c r="BE26" s="430"/>
    </row>
    <row r="27" spans="1:58" s="4" customFormat="1" ht="21" customHeight="1" thickBot="1">
      <c r="A27" s="569" t="s">
        <v>242</v>
      </c>
      <c r="B27" s="570"/>
      <c r="C27" s="570"/>
      <c r="D27" s="570"/>
      <c r="E27" s="570"/>
      <c r="F27" s="570"/>
      <c r="G27" s="570"/>
      <c r="H27" s="570"/>
      <c r="I27" s="570"/>
      <c r="J27" s="570"/>
      <c r="K27" s="570"/>
      <c r="L27" s="570"/>
      <c r="M27" s="570"/>
      <c r="N27" s="570"/>
      <c r="O27" s="571"/>
      <c r="P27" s="572">
        <f t="shared" si="0"/>
        <v>0</v>
      </c>
      <c r="Q27" s="573" t="e">
        <f t="shared" si="1"/>
        <v>#DIV/0!</v>
      </c>
      <c r="R27" s="574"/>
      <c r="S27" s="570"/>
      <c r="T27" s="570"/>
      <c r="U27" s="571"/>
      <c r="V27" s="575"/>
      <c r="W27" s="571"/>
      <c r="X27" s="575"/>
      <c r="Y27" s="570"/>
      <c r="Z27" s="570"/>
      <c r="AA27" s="570"/>
      <c r="AB27" s="570"/>
      <c r="AC27" s="570"/>
      <c r="AD27" s="570"/>
      <c r="AE27" s="571"/>
      <c r="AF27" s="576">
        <f t="shared" si="2"/>
        <v>0</v>
      </c>
      <c r="AG27" s="574"/>
      <c r="AH27" s="570"/>
      <c r="AI27" s="570"/>
      <c r="AJ27" s="570"/>
      <c r="AK27" s="577"/>
      <c r="AL27" s="574">
        <f t="shared" si="3"/>
        <v>0</v>
      </c>
      <c r="AM27" s="572"/>
      <c r="AN27" s="571"/>
      <c r="AO27" s="578"/>
      <c r="AP27" s="579"/>
      <c r="AQ27" s="574"/>
      <c r="AR27" s="570"/>
      <c r="AS27" s="571"/>
      <c r="AT27" s="831"/>
      <c r="AU27" s="832"/>
      <c r="AV27" s="580">
        <f t="shared" si="4"/>
        <v>0</v>
      </c>
      <c r="AW27" s="581"/>
      <c r="AY27" s="422"/>
      <c r="AZ27" s="422"/>
      <c r="BA27" s="427"/>
      <c r="BB27" s="431"/>
      <c r="BC27" s="432"/>
      <c r="BE27" s="432"/>
      <c r="BF27" s="433"/>
    </row>
    <row r="28" spans="1:58" s="4" customFormat="1" ht="21" customHeight="1">
      <c r="A28" s="569" t="s">
        <v>243</v>
      </c>
      <c r="B28" s="582"/>
      <c r="C28" s="582"/>
      <c r="D28" s="582"/>
      <c r="E28" s="582"/>
      <c r="F28" s="582"/>
      <c r="G28" s="582"/>
      <c r="H28" s="582"/>
      <c r="I28" s="582"/>
      <c r="J28" s="582"/>
      <c r="K28" s="582"/>
      <c r="L28" s="582"/>
      <c r="M28" s="582"/>
      <c r="N28" s="582"/>
      <c r="O28" s="583"/>
      <c r="P28" s="584">
        <f t="shared" si="0"/>
        <v>0</v>
      </c>
      <c r="Q28" s="597" t="e">
        <f t="shared" si="1"/>
        <v>#DIV/0!</v>
      </c>
      <c r="R28" s="586"/>
      <c r="S28" s="582"/>
      <c r="T28" s="582"/>
      <c r="U28" s="583"/>
      <c r="V28" s="587"/>
      <c r="W28" s="583"/>
      <c r="X28" s="587"/>
      <c r="Y28" s="582"/>
      <c r="Z28" s="582"/>
      <c r="AA28" s="582"/>
      <c r="AB28" s="582"/>
      <c r="AC28" s="582"/>
      <c r="AD28" s="582"/>
      <c r="AE28" s="583"/>
      <c r="AF28" s="588">
        <f t="shared" si="2"/>
        <v>0</v>
      </c>
      <c r="AG28" s="586"/>
      <c r="AH28" s="582"/>
      <c r="AI28" s="582"/>
      <c r="AJ28" s="582"/>
      <c r="AK28" s="589"/>
      <c r="AL28" s="586">
        <f t="shared" si="3"/>
        <v>0</v>
      </c>
      <c r="AM28" s="584"/>
      <c r="AN28" s="583"/>
      <c r="AO28" s="590"/>
      <c r="AP28" s="591"/>
      <c r="AQ28" s="586"/>
      <c r="AR28" s="582"/>
      <c r="AS28" s="583"/>
      <c r="AT28" s="761"/>
      <c r="AU28" s="762"/>
      <c r="AV28" s="592">
        <f t="shared" si="4"/>
        <v>0</v>
      </c>
      <c r="AW28" s="593"/>
      <c r="AY28" s="420"/>
      <c r="AZ28" s="420"/>
      <c r="BA28" s="434"/>
      <c r="BB28" s="431"/>
      <c r="BC28" s="432"/>
      <c r="BD28" s="123"/>
      <c r="BE28" s="432"/>
      <c r="BF28" s="433"/>
    </row>
    <row r="29" spans="1:58" s="6" customFormat="1" ht="21" customHeight="1">
      <c r="A29" s="569" t="s">
        <v>244</v>
      </c>
      <c r="B29" s="594"/>
      <c r="C29" s="594"/>
      <c r="D29" s="594"/>
      <c r="E29" s="594"/>
      <c r="F29" s="594"/>
      <c r="G29" s="594"/>
      <c r="H29" s="594"/>
      <c r="I29" s="594"/>
      <c r="J29" s="594"/>
      <c r="K29" s="594"/>
      <c r="L29" s="594"/>
      <c r="M29" s="594"/>
      <c r="N29" s="594"/>
      <c r="O29" s="595"/>
      <c r="P29" s="596">
        <f t="shared" si="0"/>
        <v>0</v>
      </c>
      <c r="Q29" s="597" t="e">
        <f t="shared" si="1"/>
        <v>#DIV/0!</v>
      </c>
      <c r="R29" s="598"/>
      <c r="S29" s="594"/>
      <c r="T29" s="594"/>
      <c r="U29" s="595"/>
      <c r="V29" s="599"/>
      <c r="W29" s="595"/>
      <c r="X29" s="599"/>
      <c r="Y29" s="594"/>
      <c r="Z29" s="594"/>
      <c r="AA29" s="594"/>
      <c r="AB29" s="594"/>
      <c r="AC29" s="594"/>
      <c r="AD29" s="594"/>
      <c r="AE29" s="595"/>
      <c r="AF29" s="600">
        <f t="shared" si="2"/>
        <v>0</v>
      </c>
      <c r="AG29" s="598"/>
      <c r="AH29" s="594"/>
      <c r="AI29" s="594"/>
      <c r="AJ29" s="594"/>
      <c r="AK29" s="601"/>
      <c r="AL29" s="598">
        <f t="shared" si="3"/>
        <v>0</v>
      </c>
      <c r="AM29" s="596"/>
      <c r="AN29" s="595"/>
      <c r="AO29" s="602"/>
      <c r="AP29" s="603"/>
      <c r="AQ29" s="598"/>
      <c r="AR29" s="594"/>
      <c r="AS29" s="595"/>
      <c r="AT29" s="755"/>
      <c r="AU29" s="756"/>
      <c r="AV29" s="604">
        <f t="shared" si="4"/>
        <v>0</v>
      </c>
      <c r="AW29" s="605"/>
      <c r="AY29" s="13"/>
      <c r="AZ29" s="426"/>
      <c r="BA29" s="435"/>
      <c r="BB29" s="436"/>
      <c r="BC29" s="437"/>
      <c r="BD29" s="123"/>
      <c r="BE29" s="437"/>
      <c r="BF29" s="438"/>
    </row>
    <row r="30" spans="1:58" s="123" customFormat="1" ht="21" customHeight="1">
      <c r="A30" s="569" t="s">
        <v>245</v>
      </c>
      <c r="B30" s="594"/>
      <c r="C30" s="594"/>
      <c r="D30" s="594"/>
      <c r="E30" s="594"/>
      <c r="F30" s="594"/>
      <c r="G30" s="594"/>
      <c r="H30" s="594"/>
      <c r="I30" s="594"/>
      <c r="J30" s="594"/>
      <c r="K30" s="594"/>
      <c r="L30" s="594"/>
      <c r="M30" s="594"/>
      <c r="N30" s="594"/>
      <c r="O30" s="595"/>
      <c r="P30" s="596">
        <f t="shared" ref="P30:P35" si="5">SUM(B30:O30)</f>
        <v>0</v>
      </c>
      <c r="Q30" s="597" t="e">
        <f t="shared" si="1"/>
        <v>#DIV/0!</v>
      </c>
      <c r="R30" s="598"/>
      <c r="S30" s="594"/>
      <c r="T30" s="594"/>
      <c r="U30" s="595"/>
      <c r="V30" s="599"/>
      <c r="W30" s="595"/>
      <c r="X30" s="599"/>
      <c r="Y30" s="594"/>
      <c r="Z30" s="594"/>
      <c r="AA30" s="594"/>
      <c r="AB30" s="594"/>
      <c r="AC30" s="594"/>
      <c r="AD30" s="594"/>
      <c r="AE30" s="595"/>
      <c r="AF30" s="600">
        <f t="shared" si="2"/>
        <v>0</v>
      </c>
      <c r="AG30" s="598"/>
      <c r="AH30" s="594"/>
      <c r="AI30" s="594"/>
      <c r="AJ30" s="594"/>
      <c r="AK30" s="601"/>
      <c r="AL30" s="598">
        <f t="shared" si="3"/>
        <v>0</v>
      </c>
      <c r="AM30" s="596"/>
      <c r="AN30" s="595"/>
      <c r="AO30" s="602"/>
      <c r="AP30" s="603"/>
      <c r="AQ30" s="598"/>
      <c r="AR30" s="594"/>
      <c r="AS30" s="595"/>
      <c r="AT30" s="755"/>
      <c r="AU30" s="756"/>
      <c r="AV30" s="604">
        <f t="shared" si="4"/>
        <v>0</v>
      </c>
      <c r="AW30" s="641"/>
      <c r="AY30" s="420"/>
      <c r="AZ30" s="421"/>
      <c r="BA30" s="424"/>
      <c r="BB30" s="424"/>
    </row>
    <row r="31" spans="1:58" s="5" customFormat="1" ht="21" customHeight="1">
      <c r="A31" s="569" t="s">
        <v>246</v>
      </c>
      <c r="B31" s="594"/>
      <c r="C31" s="594"/>
      <c r="D31" s="594"/>
      <c r="E31" s="594"/>
      <c r="F31" s="594"/>
      <c r="G31" s="594"/>
      <c r="H31" s="594"/>
      <c r="I31" s="594"/>
      <c r="J31" s="594"/>
      <c r="K31" s="594"/>
      <c r="L31" s="594"/>
      <c r="M31" s="594"/>
      <c r="N31" s="594"/>
      <c r="O31" s="595"/>
      <c r="P31" s="596">
        <f t="shared" si="5"/>
        <v>0</v>
      </c>
      <c r="Q31" s="597" t="e">
        <f t="shared" si="1"/>
        <v>#DIV/0!</v>
      </c>
      <c r="R31" s="598"/>
      <c r="S31" s="594"/>
      <c r="T31" s="594"/>
      <c r="U31" s="595"/>
      <c r="V31" s="599"/>
      <c r="W31" s="595"/>
      <c r="X31" s="599"/>
      <c r="Y31" s="594"/>
      <c r="Z31" s="594"/>
      <c r="AA31" s="594"/>
      <c r="AB31" s="594"/>
      <c r="AC31" s="594"/>
      <c r="AD31" s="594"/>
      <c r="AE31" s="595"/>
      <c r="AF31" s="600">
        <f t="shared" si="2"/>
        <v>0</v>
      </c>
      <c r="AG31" s="598"/>
      <c r="AH31" s="594"/>
      <c r="AI31" s="594"/>
      <c r="AJ31" s="594"/>
      <c r="AK31" s="601"/>
      <c r="AL31" s="598">
        <f t="shared" si="3"/>
        <v>0</v>
      </c>
      <c r="AM31" s="596"/>
      <c r="AN31" s="595"/>
      <c r="AO31" s="602"/>
      <c r="AP31" s="603"/>
      <c r="AQ31" s="598"/>
      <c r="AR31" s="594"/>
      <c r="AS31" s="595"/>
      <c r="AT31" s="755"/>
      <c r="AU31" s="756"/>
      <c r="AV31" s="604">
        <f t="shared" si="4"/>
        <v>0</v>
      </c>
      <c r="AW31" s="642"/>
      <c r="AY31" s="422"/>
      <c r="BA31" s="426"/>
      <c r="BB31" s="426"/>
      <c r="BC31" s="345"/>
      <c r="BD31" s="123"/>
      <c r="BE31" s="345"/>
      <c r="BF31" s="345"/>
    </row>
    <row r="32" spans="1:58" s="4" customFormat="1" ht="21" customHeight="1">
      <c r="A32" s="552" t="s">
        <v>247</v>
      </c>
      <c r="B32" s="594"/>
      <c r="C32" s="594"/>
      <c r="D32" s="594"/>
      <c r="E32" s="594"/>
      <c r="F32" s="594"/>
      <c r="G32" s="594"/>
      <c r="H32" s="594"/>
      <c r="I32" s="594"/>
      <c r="J32" s="594"/>
      <c r="K32" s="594"/>
      <c r="L32" s="594"/>
      <c r="M32" s="594"/>
      <c r="N32" s="594"/>
      <c r="O32" s="595"/>
      <c r="P32" s="596">
        <f t="shared" si="5"/>
        <v>0</v>
      </c>
      <c r="Q32" s="597" t="e">
        <f t="shared" si="1"/>
        <v>#DIV/0!</v>
      </c>
      <c r="R32" s="598"/>
      <c r="S32" s="594"/>
      <c r="T32" s="594"/>
      <c r="U32" s="595"/>
      <c r="V32" s="599"/>
      <c r="W32" s="595"/>
      <c r="X32" s="599"/>
      <c r="Y32" s="594"/>
      <c r="Z32" s="594"/>
      <c r="AA32" s="594"/>
      <c r="AB32" s="594"/>
      <c r="AC32" s="594"/>
      <c r="AD32" s="594"/>
      <c r="AE32" s="595"/>
      <c r="AF32" s="600">
        <f t="shared" si="2"/>
        <v>0</v>
      </c>
      <c r="AG32" s="598"/>
      <c r="AH32" s="594"/>
      <c r="AI32" s="594"/>
      <c r="AJ32" s="594"/>
      <c r="AK32" s="601"/>
      <c r="AL32" s="598">
        <f t="shared" si="3"/>
        <v>0</v>
      </c>
      <c r="AM32" s="596"/>
      <c r="AN32" s="595"/>
      <c r="AO32" s="602"/>
      <c r="AP32" s="603"/>
      <c r="AQ32" s="598"/>
      <c r="AR32" s="594"/>
      <c r="AS32" s="595"/>
      <c r="AT32" s="755"/>
      <c r="AU32" s="756"/>
      <c r="AV32" s="604">
        <f t="shared" si="4"/>
        <v>0</v>
      </c>
      <c r="AW32" s="643"/>
      <c r="AY32" s="420"/>
      <c r="AZ32" s="422"/>
      <c r="BA32" s="423"/>
      <c r="BB32" s="423"/>
      <c r="BD32" s="123"/>
    </row>
    <row r="33" spans="1:58" s="5" customFormat="1" ht="21" customHeight="1">
      <c r="A33" s="569" t="s">
        <v>253</v>
      </c>
      <c r="B33" s="609"/>
      <c r="C33" s="609"/>
      <c r="D33" s="609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4"/>
      <c r="P33" s="611">
        <f t="shared" si="5"/>
        <v>0</v>
      </c>
      <c r="Q33" s="612" t="e">
        <f t="shared" si="1"/>
        <v>#DIV/0!</v>
      </c>
      <c r="R33" s="635"/>
      <c r="S33" s="609"/>
      <c r="T33" s="609"/>
      <c r="U33" s="610"/>
      <c r="V33" s="614"/>
      <c r="W33" s="610"/>
      <c r="X33" s="614"/>
      <c r="Y33" s="609"/>
      <c r="Z33" s="609"/>
      <c r="AA33" s="609"/>
      <c r="AB33" s="609"/>
      <c r="AC33" s="609"/>
      <c r="AD33" s="609"/>
      <c r="AE33" s="610"/>
      <c r="AF33" s="615">
        <f t="shared" si="2"/>
        <v>0</v>
      </c>
      <c r="AG33" s="613"/>
      <c r="AH33" s="609"/>
      <c r="AI33" s="609"/>
      <c r="AJ33" s="609"/>
      <c r="AK33" s="616"/>
      <c r="AL33" s="613">
        <f t="shared" si="3"/>
        <v>0</v>
      </c>
      <c r="AM33" s="611"/>
      <c r="AN33" s="610"/>
      <c r="AO33" s="617"/>
      <c r="AP33" s="618"/>
      <c r="AQ33" s="613"/>
      <c r="AR33" s="609"/>
      <c r="AS33" s="610"/>
      <c r="AT33" s="763"/>
      <c r="AU33" s="764"/>
      <c r="AV33" s="619">
        <f t="shared" si="4"/>
        <v>0</v>
      </c>
      <c r="AW33" s="620"/>
      <c r="AY33" s="420"/>
      <c r="AZ33" s="420"/>
      <c r="BA33" s="421"/>
      <c r="BB33" s="421"/>
    </row>
    <row r="34" spans="1:58" s="4" customFormat="1" ht="21" customHeight="1" thickBot="1">
      <c r="A34" s="569" t="s">
        <v>253</v>
      </c>
      <c r="B34" s="570"/>
      <c r="C34" s="570"/>
      <c r="D34" s="570"/>
      <c r="E34" s="570"/>
      <c r="F34" s="570"/>
      <c r="G34" s="570"/>
      <c r="H34" s="570"/>
      <c r="I34" s="570"/>
      <c r="J34" s="570"/>
      <c r="K34" s="570"/>
      <c r="L34" s="570"/>
      <c r="M34" s="570"/>
      <c r="N34" s="570"/>
      <c r="O34" s="571"/>
      <c r="P34" s="572">
        <f t="shared" si="5"/>
        <v>0</v>
      </c>
      <c r="Q34" s="573" t="e">
        <f t="shared" si="1"/>
        <v>#DIV/0!</v>
      </c>
      <c r="R34" s="574"/>
      <c r="S34" s="570"/>
      <c r="T34" s="570"/>
      <c r="U34" s="571"/>
      <c r="V34" s="575"/>
      <c r="W34" s="571"/>
      <c r="X34" s="575"/>
      <c r="Y34" s="570"/>
      <c r="Z34" s="570"/>
      <c r="AA34" s="570"/>
      <c r="AB34" s="570"/>
      <c r="AC34" s="570"/>
      <c r="AD34" s="570"/>
      <c r="AE34" s="571"/>
      <c r="AF34" s="576">
        <f t="shared" si="2"/>
        <v>0</v>
      </c>
      <c r="AG34" s="574"/>
      <c r="AH34" s="570"/>
      <c r="AI34" s="570"/>
      <c r="AJ34" s="570"/>
      <c r="AK34" s="577"/>
      <c r="AL34" s="574">
        <f t="shared" si="3"/>
        <v>0</v>
      </c>
      <c r="AM34" s="572"/>
      <c r="AN34" s="571"/>
      <c r="AO34" s="578"/>
      <c r="AP34" s="579"/>
      <c r="AQ34" s="574"/>
      <c r="AR34" s="570"/>
      <c r="AS34" s="571"/>
      <c r="AT34" s="831"/>
      <c r="AU34" s="832"/>
      <c r="AV34" s="580">
        <f t="shared" si="4"/>
        <v>0</v>
      </c>
      <c r="AW34" s="581"/>
      <c r="AX34" s="4" t="s">
        <v>197</v>
      </c>
      <c r="AY34" s="422"/>
      <c r="AZ34" s="422"/>
      <c r="BA34" s="423"/>
      <c r="BB34" s="423"/>
    </row>
    <row r="35" spans="1:58" s="4" customFormat="1" ht="21" customHeight="1" thickBot="1">
      <c r="A35" s="569" t="s">
        <v>253</v>
      </c>
      <c r="B35" s="644"/>
      <c r="C35" s="644"/>
      <c r="D35" s="644"/>
      <c r="E35" s="644"/>
      <c r="F35" s="644"/>
      <c r="G35" s="644"/>
      <c r="H35" s="644"/>
      <c r="I35" s="644"/>
      <c r="J35" s="644"/>
      <c r="K35" s="644"/>
      <c r="L35" s="644"/>
      <c r="M35" s="644"/>
      <c r="N35" s="644"/>
      <c r="O35" s="645"/>
      <c r="P35" s="646">
        <f t="shared" si="5"/>
        <v>0</v>
      </c>
      <c r="Q35" s="647" t="e">
        <f t="shared" si="1"/>
        <v>#DIV/0!</v>
      </c>
      <c r="R35" s="648"/>
      <c r="S35" s="644"/>
      <c r="T35" s="644"/>
      <c r="U35" s="645"/>
      <c r="V35" s="649"/>
      <c r="W35" s="645"/>
      <c r="X35" s="649"/>
      <c r="Y35" s="644"/>
      <c r="Z35" s="644"/>
      <c r="AA35" s="644"/>
      <c r="AB35" s="644"/>
      <c r="AC35" s="644"/>
      <c r="AD35" s="644"/>
      <c r="AE35" s="645"/>
      <c r="AF35" s="650">
        <f t="shared" si="2"/>
        <v>0</v>
      </c>
      <c r="AG35" s="648"/>
      <c r="AH35" s="644"/>
      <c r="AI35" s="644"/>
      <c r="AJ35" s="644"/>
      <c r="AK35" s="651"/>
      <c r="AL35" s="648">
        <f t="shared" si="3"/>
        <v>0</v>
      </c>
      <c r="AM35" s="646"/>
      <c r="AN35" s="645"/>
      <c r="AO35" s="652"/>
      <c r="AP35" s="653"/>
      <c r="AQ35" s="648"/>
      <c r="AR35" s="644"/>
      <c r="AS35" s="645"/>
      <c r="AT35" s="761"/>
      <c r="AU35" s="762"/>
      <c r="AV35" s="654">
        <f t="shared" si="4"/>
        <v>0</v>
      </c>
      <c r="AW35" s="655"/>
      <c r="AY35" s="422"/>
      <c r="AZ35" s="422"/>
      <c r="BA35" s="423"/>
      <c r="BB35" s="423"/>
      <c r="BD35" s="123"/>
    </row>
    <row r="36" spans="1:58" ht="21" customHeight="1" thickBot="1">
      <c r="A36" s="15" t="s">
        <v>1</v>
      </c>
      <c r="B36" s="61">
        <f t="shared" ref="B36:O36" si="6">SUM(B5:B35)</f>
        <v>0</v>
      </c>
      <c r="C36" s="60">
        <f t="shared" si="6"/>
        <v>0</v>
      </c>
      <c r="D36" s="61">
        <f t="shared" si="6"/>
        <v>0</v>
      </c>
      <c r="E36" s="61">
        <f t="shared" si="6"/>
        <v>0</v>
      </c>
      <c r="F36" s="61">
        <f t="shared" si="6"/>
        <v>0</v>
      </c>
      <c r="G36" s="61">
        <f t="shared" si="6"/>
        <v>0</v>
      </c>
      <c r="H36" s="61">
        <f t="shared" si="6"/>
        <v>0</v>
      </c>
      <c r="I36" s="61">
        <f t="shared" si="6"/>
        <v>0</v>
      </c>
      <c r="J36" s="61">
        <f t="shared" si="6"/>
        <v>0</v>
      </c>
      <c r="K36" s="61">
        <f t="shared" si="6"/>
        <v>0</v>
      </c>
      <c r="L36" s="61">
        <f t="shared" si="6"/>
        <v>0</v>
      </c>
      <c r="M36" s="61">
        <f t="shared" si="6"/>
        <v>0</v>
      </c>
      <c r="N36" s="61">
        <f t="shared" si="6"/>
        <v>0</v>
      </c>
      <c r="O36" s="263">
        <f t="shared" si="6"/>
        <v>0</v>
      </c>
      <c r="P36" s="257">
        <f>SUM(B36:O36)</f>
        <v>0</v>
      </c>
      <c r="Q36" s="16" t="e">
        <f>AVERAGE(Q5:Q35)</f>
        <v>#DIV/0!</v>
      </c>
      <c r="R36" s="55">
        <f t="shared" ref="R36:AE36" si="7">SUM(R5:R35)</f>
        <v>0</v>
      </c>
      <c r="S36" s="55">
        <f t="shared" si="7"/>
        <v>0</v>
      </c>
      <c r="T36" s="56">
        <f t="shared" si="7"/>
        <v>0</v>
      </c>
      <c r="U36" s="57">
        <f t="shared" si="7"/>
        <v>0</v>
      </c>
      <c r="V36" s="318">
        <f t="shared" si="7"/>
        <v>0</v>
      </c>
      <c r="W36" s="57">
        <f t="shared" si="7"/>
        <v>0</v>
      </c>
      <c r="X36" s="367">
        <f t="shared" si="7"/>
        <v>0</v>
      </c>
      <c r="Y36" s="57">
        <f t="shared" si="7"/>
        <v>0</v>
      </c>
      <c r="Z36" s="57">
        <f t="shared" si="7"/>
        <v>0</v>
      </c>
      <c r="AA36" s="57">
        <f t="shared" si="7"/>
        <v>0</v>
      </c>
      <c r="AB36" s="57">
        <f t="shared" si="7"/>
        <v>0</v>
      </c>
      <c r="AC36" s="57">
        <f t="shared" si="7"/>
        <v>0</v>
      </c>
      <c r="AD36" s="57">
        <f t="shared" si="7"/>
        <v>0</v>
      </c>
      <c r="AE36" s="57">
        <f t="shared" si="7"/>
        <v>0</v>
      </c>
      <c r="AF36" s="368">
        <f>SUM(R36:AE36)</f>
        <v>0</v>
      </c>
      <c r="AG36" s="55">
        <f t="shared" ref="AG36:AT36" si="8">SUM(AG5:AG35)</f>
        <v>0</v>
      </c>
      <c r="AH36" s="56">
        <f t="shared" si="8"/>
        <v>0</v>
      </c>
      <c r="AI36" s="56">
        <f t="shared" si="8"/>
        <v>0</v>
      </c>
      <c r="AJ36" s="56">
        <f t="shared" si="8"/>
        <v>0</v>
      </c>
      <c r="AK36" s="58">
        <f t="shared" si="8"/>
        <v>0</v>
      </c>
      <c r="AL36" s="59">
        <f>AG36+AK36+AH36</f>
        <v>0</v>
      </c>
      <c r="AM36" s="59">
        <f t="shared" si="8"/>
        <v>0</v>
      </c>
      <c r="AN36" s="57"/>
      <c r="AO36" s="369">
        <f t="shared" si="8"/>
        <v>0</v>
      </c>
      <c r="AP36" s="371">
        <f t="shared" si="8"/>
        <v>0</v>
      </c>
      <c r="AQ36" s="55">
        <f t="shared" si="8"/>
        <v>0</v>
      </c>
      <c r="AR36" s="56">
        <f t="shared" si="8"/>
        <v>0</v>
      </c>
      <c r="AS36" s="57">
        <f t="shared" si="8"/>
        <v>0</v>
      </c>
      <c r="AT36" s="770">
        <f t="shared" si="8"/>
        <v>0</v>
      </c>
      <c r="AU36" s="771"/>
      <c r="AV36" s="258">
        <f>SUM(AV5:AV35)</f>
        <v>0</v>
      </c>
      <c r="AW36" s="258">
        <f>SUM(AW5:AW35)</f>
        <v>0</v>
      </c>
      <c r="AY36" s="435"/>
      <c r="AZ36" s="435"/>
      <c r="BA36" s="435"/>
      <c r="BB36" s="435"/>
      <c r="BC36" s="437"/>
      <c r="BD36" s="123"/>
      <c r="BE36" s="437"/>
      <c r="BF36" s="438"/>
    </row>
    <row r="37" spans="1:58" ht="21" customHeight="1" thickTop="1" thickBot="1">
      <c r="A37" s="17" t="s">
        <v>108</v>
      </c>
      <c r="B37" s="18"/>
      <c r="C37" s="18"/>
      <c r="D37" s="18"/>
      <c r="E37" s="18"/>
      <c r="F37" s="18"/>
      <c r="G37" s="18"/>
      <c r="H37" s="18"/>
      <c r="I37" s="18"/>
      <c r="J37" s="19"/>
      <c r="K37" s="19"/>
      <c r="L37" s="19"/>
      <c r="M37" s="19">
        <v>0</v>
      </c>
      <c r="N37" s="19">
        <v>0</v>
      </c>
      <c r="O37" s="264">
        <v>0</v>
      </c>
      <c r="P37" s="21"/>
      <c r="Q37" s="48"/>
      <c r="R37" s="18">
        <v>0</v>
      </c>
      <c r="S37" s="18">
        <v>0</v>
      </c>
      <c r="T37" s="18">
        <v>0</v>
      </c>
      <c r="U37" s="22">
        <v>0</v>
      </c>
      <c r="V37" s="319">
        <v>0</v>
      </c>
      <c r="W37" s="22">
        <v>0</v>
      </c>
      <c r="X37" s="319"/>
      <c r="Y37" s="18"/>
      <c r="Z37" s="18"/>
      <c r="AA37" s="18"/>
      <c r="AB37" s="18"/>
      <c r="AC37" s="18"/>
      <c r="AD37" s="18"/>
      <c r="AE37" s="22"/>
      <c r="AF37" s="353"/>
      <c r="AG37" s="18"/>
      <c r="AH37" s="19"/>
      <c r="AI37" s="19"/>
      <c r="AJ37" s="19"/>
      <c r="AK37" s="20"/>
      <c r="AL37" s="21"/>
      <c r="AM37" s="21">
        <v>0</v>
      </c>
      <c r="AN37" s="264"/>
      <c r="AO37" s="327"/>
      <c r="AP37" s="351"/>
      <c r="AQ37" s="18"/>
      <c r="AR37" s="19"/>
      <c r="AS37" s="20"/>
      <c r="AT37" s="22"/>
      <c r="AU37" s="772" t="s">
        <v>39</v>
      </c>
      <c r="AV37" s="775" t="e">
        <f>AV36/'2026년 폐수반입현황'!AY5</f>
        <v>#DIV/0!</v>
      </c>
      <c r="AW37" s="778" t="e">
        <f>AW36/'2026년 폐수반입현황'!AV5</f>
        <v>#DIV/0!</v>
      </c>
      <c r="AY37" s="303"/>
      <c r="AZ37" s="303"/>
      <c r="BA37" s="303"/>
      <c r="BB37" s="301"/>
      <c r="BC37" s="302"/>
      <c r="BD37" s="123"/>
      <c r="BE37" s="302"/>
      <c r="BF37" s="300"/>
    </row>
    <row r="38" spans="1:58" ht="21" customHeight="1" thickBot="1">
      <c r="A38" s="23" t="s">
        <v>46</v>
      </c>
      <c r="B38" s="49">
        <f t="shared" ref="B38:AS38" si="9">B36-B37</f>
        <v>0</v>
      </c>
      <c r="C38" s="49">
        <f>C36-C37</f>
        <v>0</v>
      </c>
      <c r="D38" s="49">
        <f t="shared" si="9"/>
        <v>0</v>
      </c>
      <c r="E38" s="49">
        <f t="shared" si="9"/>
        <v>0</v>
      </c>
      <c r="F38" s="49">
        <f t="shared" si="9"/>
        <v>0</v>
      </c>
      <c r="G38" s="49">
        <f t="shared" si="9"/>
        <v>0</v>
      </c>
      <c r="H38" s="49">
        <f t="shared" si="9"/>
        <v>0</v>
      </c>
      <c r="I38" s="49">
        <f t="shared" si="9"/>
        <v>0</v>
      </c>
      <c r="J38" s="50">
        <f t="shared" si="9"/>
        <v>0</v>
      </c>
      <c r="K38" s="50">
        <f t="shared" si="9"/>
        <v>0</v>
      </c>
      <c r="L38" s="50">
        <f t="shared" si="9"/>
        <v>0</v>
      </c>
      <c r="M38" s="50">
        <f t="shared" si="9"/>
        <v>0</v>
      </c>
      <c r="N38" s="50">
        <f t="shared" si="9"/>
        <v>0</v>
      </c>
      <c r="O38" s="265">
        <f t="shared" si="9"/>
        <v>0</v>
      </c>
      <c r="P38" s="52">
        <f t="shared" si="9"/>
        <v>0</v>
      </c>
      <c r="Q38" s="53" t="e">
        <f t="shared" si="9"/>
        <v>#DIV/0!</v>
      </c>
      <c r="R38" s="49">
        <f t="shared" si="9"/>
        <v>0</v>
      </c>
      <c r="S38" s="49">
        <f t="shared" si="9"/>
        <v>0</v>
      </c>
      <c r="T38" s="49">
        <f t="shared" si="9"/>
        <v>0</v>
      </c>
      <c r="U38" s="54">
        <f t="shared" si="9"/>
        <v>0</v>
      </c>
      <c r="V38" s="320">
        <f t="shared" si="9"/>
        <v>0</v>
      </c>
      <c r="W38" s="54">
        <f t="shared" si="9"/>
        <v>0</v>
      </c>
      <c r="X38" s="320">
        <f t="shared" si="9"/>
        <v>0</v>
      </c>
      <c r="Y38" s="49">
        <f t="shared" si="9"/>
        <v>0</v>
      </c>
      <c r="Z38" s="49">
        <f t="shared" si="9"/>
        <v>0</v>
      </c>
      <c r="AA38" s="49">
        <f t="shared" si="9"/>
        <v>0</v>
      </c>
      <c r="AB38" s="49">
        <f t="shared" si="9"/>
        <v>0</v>
      </c>
      <c r="AC38" s="49">
        <f t="shared" si="9"/>
        <v>0</v>
      </c>
      <c r="AD38" s="49">
        <f t="shared" si="9"/>
        <v>0</v>
      </c>
      <c r="AE38" s="54">
        <f t="shared" si="9"/>
        <v>0</v>
      </c>
      <c r="AF38" s="354">
        <f t="shared" si="9"/>
        <v>0</v>
      </c>
      <c r="AG38" s="49">
        <f t="shared" si="9"/>
        <v>0</v>
      </c>
      <c r="AH38" s="50">
        <f t="shared" si="9"/>
        <v>0</v>
      </c>
      <c r="AI38" s="50">
        <f t="shared" si="9"/>
        <v>0</v>
      </c>
      <c r="AJ38" s="50">
        <f t="shared" si="9"/>
        <v>0</v>
      </c>
      <c r="AK38" s="51">
        <f t="shared" si="9"/>
        <v>0</v>
      </c>
      <c r="AL38" s="52">
        <f>AG38+AK38+AT38</f>
        <v>0</v>
      </c>
      <c r="AM38" s="52">
        <f t="shared" si="9"/>
        <v>0</v>
      </c>
      <c r="AN38" s="265"/>
      <c r="AO38" s="328">
        <v>64.69</v>
      </c>
      <c r="AP38" s="352">
        <f t="shared" si="9"/>
        <v>0</v>
      </c>
      <c r="AQ38" s="49">
        <f t="shared" si="9"/>
        <v>0</v>
      </c>
      <c r="AR38" s="50">
        <f t="shared" si="9"/>
        <v>0</v>
      </c>
      <c r="AS38" s="51">
        <f t="shared" si="9"/>
        <v>0</v>
      </c>
      <c r="AT38" s="306">
        <f>AT36-AT37</f>
        <v>0</v>
      </c>
      <c r="AU38" s="773"/>
      <c r="AV38" s="776"/>
      <c r="AW38" s="779"/>
      <c r="BD38" s="123"/>
    </row>
    <row r="39" spans="1:58" ht="21" customHeight="1" thickBot="1">
      <c r="A39" s="276" t="s">
        <v>189</v>
      </c>
      <c r="B39" s="307"/>
      <c r="C39" s="278"/>
      <c r="D39" s="278"/>
      <c r="E39" s="278"/>
      <c r="F39" s="372"/>
      <c r="G39" s="278"/>
      <c r="H39" s="278"/>
      <c r="I39" s="372"/>
      <c r="J39" s="278"/>
      <c r="K39" s="372"/>
      <c r="L39" s="280"/>
      <c r="M39" s="277">
        <v>0</v>
      </c>
      <c r="N39" s="277">
        <v>0</v>
      </c>
      <c r="O39" s="277">
        <v>0</v>
      </c>
      <c r="P39" s="277"/>
      <c r="Q39" s="277"/>
      <c r="R39" s="277"/>
      <c r="S39" s="277"/>
      <c r="T39" s="277"/>
      <c r="U39" s="277"/>
      <c r="V39" s="277"/>
      <c r="W39" s="307"/>
      <c r="X39" s="321"/>
      <c r="Y39" s="307"/>
      <c r="Z39" s="278"/>
      <c r="AA39" s="281"/>
      <c r="AB39" s="277"/>
      <c r="AC39" s="277"/>
      <c r="AD39" s="307"/>
      <c r="AE39" s="280"/>
      <c r="AF39" s="307"/>
      <c r="AG39" s="329"/>
      <c r="AH39" s="278"/>
      <c r="AI39" s="281"/>
      <c r="AJ39" s="307"/>
      <c r="AK39" s="279"/>
      <c r="AL39" s="282"/>
      <c r="AM39" s="277">
        <v>0</v>
      </c>
      <c r="AN39" s="307"/>
      <c r="AO39" s="329"/>
      <c r="AP39" s="321"/>
      <c r="AQ39" s="277"/>
      <c r="AR39" s="277"/>
      <c r="AS39" s="307"/>
      <c r="AT39" s="321"/>
      <c r="AU39" s="774"/>
      <c r="AV39" s="777"/>
      <c r="AW39" s="780"/>
      <c r="AY39" s="231"/>
      <c r="AZ39" s="285"/>
      <c r="BD39" s="123"/>
    </row>
    <row r="40" spans="1:58" ht="21" customHeight="1" thickBot="1">
      <c r="A40" s="765" t="s">
        <v>194</v>
      </c>
      <c r="B40" s="294" t="e">
        <f>B36/P36</f>
        <v>#DIV/0!</v>
      </c>
      <c r="C40" s="296" t="e">
        <f>C36/P36</f>
        <v>#DIV/0!</v>
      </c>
      <c r="D40" s="297" t="e">
        <f>D36/P36</f>
        <v>#DIV/0!</v>
      </c>
      <c r="E40" s="295" t="e">
        <f>E36/P36</f>
        <v>#DIV/0!</v>
      </c>
      <c r="F40" s="295" t="e">
        <f t="shared" ref="F40:I40" si="10">F36/T36</f>
        <v>#DIV/0!</v>
      </c>
      <c r="G40" s="295" t="e">
        <f>G36/P36</f>
        <v>#DIV/0!</v>
      </c>
      <c r="H40" s="295" t="e">
        <f>H36/P36</f>
        <v>#DIV/0!</v>
      </c>
      <c r="I40" s="295" t="e">
        <f t="shared" si="10"/>
        <v>#DIV/0!</v>
      </c>
      <c r="J40" s="295" t="e">
        <f>J36/P36</f>
        <v>#DIV/0!</v>
      </c>
      <c r="K40" s="296" t="e">
        <f>K36/P36</f>
        <v>#DIV/0!</v>
      </c>
      <c r="L40" s="295" t="e">
        <f>L36/P36</f>
        <v>#DIV/0!</v>
      </c>
      <c r="M40" s="286"/>
      <c r="N40" s="286"/>
      <c r="O40" s="286"/>
      <c r="P40" s="299" t="e">
        <f>B40+C40+D40+E40+G40+J40+K40+H40+L40</f>
        <v>#DIV/0!</v>
      </c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  <c r="AD40" s="286"/>
      <c r="AE40" s="286"/>
      <c r="AF40" s="286"/>
      <c r="AG40" s="286"/>
      <c r="AH40" s="286"/>
      <c r="AI40" s="286"/>
      <c r="AJ40" s="286"/>
      <c r="AK40" s="286"/>
      <c r="AL40" s="67"/>
      <c r="AM40" s="767"/>
      <c r="AN40" s="767"/>
      <c r="AO40" s="767"/>
      <c r="AP40" s="767"/>
      <c r="AQ40" s="767"/>
      <c r="AR40" s="767"/>
      <c r="AS40" s="767"/>
      <c r="AT40" s="767"/>
      <c r="AU40" s="767"/>
      <c r="AV40" s="767"/>
      <c r="AW40" s="767"/>
      <c r="AY40" s="805" t="s">
        <v>187</v>
      </c>
      <c r="AZ40" s="806"/>
      <c r="BA40" s="806"/>
      <c r="BB40" s="806"/>
      <c r="BC40" s="807"/>
      <c r="BD40" s="123"/>
    </row>
    <row r="41" spans="1:58" ht="21" customHeight="1" thickTop="1" thickBot="1">
      <c r="A41" s="766"/>
      <c r="B41" s="808" t="e">
        <f>B40+C40</f>
        <v>#DIV/0!</v>
      </c>
      <c r="C41" s="809"/>
      <c r="D41" s="810" t="e">
        <f>D40+E40+G40+J40+L40+H40</f>
        <v>#DIV/0!</v>
      </c>
      <c r="E41" s="811"/>
      <c r="F41" s="811"/>
      <c r="G41" s="811"/>
      <c r="H41" s="811"/>
      <c r="I41" s="811"/>
      <c r="J41" s="811"/>
      <c r="K41" s="811"/>
      <c r="L41" s="812"/>
      <c r="M41" s="287"/>
      <c r="N41" s="287"/>
      <c r="O41" s="287"/>
      <c r="P41" s="298" t="e">
        <f>B41+C41+D41+E41+G41+J41+K41</f>
        <v>#DIV/0!</v>
      </c>
      <c r="Q41" s="287"/>
      <c r="R41" s="287"/>
      <c r="S41" s="287"/>
      <c r="T41" s="287"/>
      <c r="U41" s="287"/>
      <c r="V41" s="287"/>
      <c r="W41" s="287"/>
      <c r="X41" s="287"/>
      <c r="Y41" s="287"/>
      <c r="Z41" s="287"/>
      <c r="AA41" s="287"/>
      <c r="AB41" s="287"/>
      <c r="AC41" s="287"/>
      <c r="AD41" s="287"/>
      <c r="AE41" s="287"/>
      <c r="AF41" s="287"/>
      <c r="AG41" s="287"/>
      <c r="AH41" s="287"/>
      <c r="AI41" s="287"/>
      <c r="AJ41" s="287"/>
      <c r="AK41" s="287"/>
      <c r="AM41" s="784"/>
      <c r="AN41" s="784"/>
      <c r="AO41" s="784"/>
      <c r="AP41" s="784"/>
      <c r="AQ41" s="784"/>
      <c r="AR41" s="784"/>
      <c r="AS41" s="784"/>
      <c r="AT41" s="784"/>
      <c r="AU41" s="784"/>
      <c r="AV41" s="784"/>
      <c r="AW41" s="784"/>
      <c r="AY41" s="813" t="s">
        <v>78</v>
      </c>
      <c r="AZ41" s="814"/>
      <c r="BA41" s="66" t="s">
        <v>144</v>
      </c>
      <c r="BB41" s="274" t="s">
        <v>195</v>
      </c>
      <c r="BC41" s="283"/>
      <c r="BD41" s="123"/>
    </row>
    <row r="42" spans="1:58" ht="15.95" customHeight="1">
      <c r="A42" s="781"/>
      <c r="B42" s="293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7"/>
      <c r="P42" s="287"/>
      <c r="Q42" s="287"/>
      <c r="R42" s="287"/>
      <c r="S42" s="287"/>
      <c r="T42" s="287"/>
      <c r="U42" s="287"/>
      <c r="V42" s="287"/>
      <c r="W42" s="287"/>
      <c r="X42" s="287"/>
      <c r="Y42" s="287"/>
      <c r="Z42" s="287"/>
      <c r="AA42" s="287"/>
      <c r="AB42" s="287"/>
      <c r="AC42" s="287"/>
      <c r="AD42" s="287"/>
      <c r="AE42" s="287"/>
      <c r="AF42" s="287"/>
      <c r="AG42" s="287"/>
      <c r="AH42" s="287"/>
      <c r="AI42" s="287"/>
      <c r="AJ42" s="287"/>
      <c r="AK42" s="287"/>
      <c r="AM42" s="784"/>
      <c r="AN42" s="784"/>
      <c r="AO42" s="784"/>
      <c r="AP42" s="784"/>
      <c r="AQ42" s="784"/>
      <c r="AR42" s="784"/>
      <c r="AS42" s="784"/>
      <c r="AT42" s="784"/>
      <c r="AU42" s="784"/>
      <c r="AV42" s="784"/>
      <c r="AW42" s="785"/>
      <c r="AY42" s="786" t="s">
        <v>45</v>
      </c>
      <c r="AZ42" s="787"/>
      <c r="BA42" s="284">
        <f>AF36</f>
        <v>0</v>
      </c>
      <c r="BB42" s="80">
        <f>AT36</f>
        <v>0</v>
      </c>
      <c r="BC42" s="85"/>
      <c r="BD42" s="123"/>
    </row>
    <row r="43" spans="1:58" ht="15.95" customHeight="1" thickBot="1">
      <c r="A43" s="782"/>
      <c r="B43" s="291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87"/>
      <c r="AB43" s="287"/>
      <c r="AC43" s="287"/>
      <c r="AD43" s="287"/>
      <c r="AE43" s="287"/>
      <c r="AF43" s="287"/>
      <c r="AG43" s="287"/>
      <c r="AH43" s="287"/>
      <c r="AI43" s="287"/>
      <c r="AJ43" s="287"/>
      <c r="AK43" s="287"/>
      <c r="AL43" s="334"/>
      <c r="AM43" s="788"/>
      <c r="AN43" s="788"/>
      <c r="AO43" s="788"/>
      <c r="AP43" s="788"/>
      <c r="AQ43" s="788"/>
      <c r="AR43" s="788"/>
      <c r="AS43" s="788"/>
      <c r="AT43" s="788"/>
      <c r="AU43" s="788"/>
      <c r="AV43" s="788"/>
      <c r="AW43" s="789"/>
      <c r="AY43" s="786" t="s">
        <v>73</v>
      </c>
      <c r="AZ43" s="787"/>
      <c r="BA43" s="284">
        <v>2479</v>
      </c>
      <c r="BB43" s="64">
        <v>2479</v>
      </c>
      <c r="BC43" s="65"/>
      <c r="BD43" s="123"/>
    </row>
    <row r="44" spans="1:58" ht="15.95" customHeight="1" thickTop="1" thickBot="1">
      <c r="A44" s="782"/>
      <c r="B44" s="291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87"/>
      <c r="AB44" s="287"/>
      <c r="AC44" s="287"/>
      <c r="AD44" s="287"/>
      <c r="AE44" s="287"/>
      <c r="AF44" s="287"/>
      <c r="AG44" s="287"/>
      <c r="AH44" s="287"/>
      <c r="AI44" s="287"/>
      <c r="AJ44" s="287"/>
      <c r="AK44" s="288"/>
      <c r="AL44" s="81"/>
      <c r="AM44" s="790"/>
      <c r="AN44" s="791"/>
      <c r="AO44" s="791"/>
      <c r="AP44" s="791"/>
      <c r="AQ44" s="791"/>
      <c r="AR44" s="791"/>
      <c r="AS44" s="791"/>
      <c r="AT44" s="791"/>
      <c r="AU44" s="791"/>
      <c r="AV44" s="791"/>
      <c r="AW44" s="792"/>
      <c r="AY44" s="793" t="s">
        <v>80</v>
      </c>
      <c r="AZ44" s="794"/>
      <c r="BA44" s="83">
        <v>540</v>
      </c>
      <c r="BB44" s="83">
        <v>540</v>
      </c>
      <c r="BC44" s="84"/>
      <c r="BD44" s="123"/>
    </row>
    <row r="45" spans="1:58" ht="15.75" customHeight="1" thickTop="1" thickBot="1">
      <c r="A45" s="782"/>
      <c r="B45" s="291"/>
      <c r="C45" s="287"/>
      <c r="D45" s="287"/>
      <c r="E45" s="287"/>
      <c r="F45" s="287"/>
      <c r="G45" s="287"/>
      <c r="H45" s="287"/>
      <c r="I45" s="287"/>
      <c r="J45" s="287"/>
      <c r="K45" s="287"/>
      <c r="L45" s="287"/>
      <c r="M45" s="287"/>
      <c r="N45" s="287"/>
      <c r="O45" s="287"/>
      <c r="P45" s="287"/>
      <c r="Q45" s="287"/>
      <c r="R45" s="287"/>
      <c r="S45" s="287"/>
      <c r="T45" s="287"/>
      <c r="U45" s="287"/>
      <c r="V45" s="287"/>
      <c r="W45" s="287"/>
      <c r="X45" s="287"/>
      <c r="Y45" s="287"/>
      <c r="Z45" s="287"/>
      <c r="AA45" s="287"/>
      <c r="AB45" s="287"/>
      <c r="AC45" s="287"/>
      <c r="AD45" s="287"/>
      <c r="AE45" s="287"/>
      <c r="AF45" s="287"/>
      <c r="AG45" s="287"/>
      <c r="AH45" s="287"/>
      <c r="AI45" s="287"/>
      <c r="AJ45" s="287"/>
      <c r="AK45" s="288"/>
      <c r="AL45" s="81"/>
      <c r="AM45" s="790"/>
      <c r="AN45" s="791"/>
      <c r="AO45" s="791"/>
      <c r="AP45" s="791"/>
      <c r="AQ45" s="791"/>
      <c r="AR45" s="791"/>
      <c r="AS45" s="791"/>
      <c r="AT45" s="791"/>
      <c r="AU45" s="791"/>
      <c r="AV45" s="791"/>
      <c r="AW45" s="792"/>
      <c r="AY45" s="795" t="s">
        <v>74</v>
      </c>
      <c r="AZ45" s="796"/>
      <c r="BA45" s="273">
        <f>(BA43+BA44)*BA42</f>
        <v>0</v>
      </c>
      <c r="BB45" s="273">
        <f>(BB43+BB44)*BB42</f>
        <v>0</v>
      </c>
      <c r="BC45" s="82"/>
      <c r="BD45" s="123"/>
    </row>
    <row r="46" spans="1:58" ht="15.95" customHeight="1" thickTop="1" thickBot="1">
      <c r="A46" s="782"/>
      <c r="B46" s="291"/>
      <c r="C46" s="287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287"/>
      <c r="S46" s="287"/>
      <c r="T46" s="287"/>
      <c r="U46" s="287"/>
      <c r="V46" s="287"/>
      <c r="W46" s="287"/>
      <c r="X46" s="287"/>
      <c r="Y46" s="287"/>
      <c r="Z46" s="287"/>
      <c r="AA46" s="287"/>
      <c r="AB46" s="287"/>
      <c r="AC46" s="287"/>
      <c r="AD46" s="287"/>
      <c r="AE46" s="287"/>
      <c r="AF46" s="287"/>
      <c r="AG46" s="287"/>
      <c r="AH46" s="287"/>
      <c r="AI46" s="287"/>
      <c r="AJ46" s="287"/>
      <c r="AK46" s="288"/>
      <c r="AL46" s="81"/>
      <c r="AM46" s="790"/>
      <c r="AN46" s="791"/>
      <c r="AO46" s="791"/>
      <c r="AP46" s="791"/>
      <c r="AQ46" s="791"/>
      <c r="AR46" s="791"/>
      <c r="AS46" s="791"/>
      <c r="AT46" s="791"/>
      <c r="AU46" s="791"/>
      <c r="AV46" s="791"/>
      <c r="AW46" s="792"/>
      <c r="AY46" s="797" t="s">
        <v>77</v>
      </c>
      <c r="AZ46" s="798"/>
      <c r="BA46" s="818">
        <f>BA42+BB42+BC42</f>
        <v>0</v>
      </c>
      <c r="BB46" s="819"/>
      <c r="BC46" s="820"/>
      <c r="BD46" s="123"/>
    </row>
    <row r="47" spans="1:58" ht="15.95" customHeight="1" thickTop="1" thickBot="1">
      <c r="A47" s="782"/>
      <c r="B47" s="291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287"/>
      <c r="S47" s="287"/>
      <c r="T47" s="287"/>
      <c r="U47" s="287"/>
      <c r="V47" s="287"/>
      <c r="W47" s="287"/>
      <c r="X47" s="287"/>
      <c r="Y47" s="287"/>
      <c r="Z47" s="287"/>
      <c r="AA47" s="287"/>
      <c r="AB47" s="287"/>
      <c r="AC47" s="287"/>
      <c r="AD47" s="287"/>
      <c r="AE47" s="287"/>
      <c r="AF47" s="287"/>
      <c r="AG47" s="287"/>
      <c r="AH47" s="287"/>
      <c r="AI47" s="287"/>
      <c r="AJ47" s="287"/>
      <c r="AK47" s="288"/>
      <c r="AL47" s="81"/>
      <c r="AM47" s="790"/>
      <c r="AN47" s="791"/>
      <c r="AO47" s="791"/>
      <c r="AP47" s="791"/>
      <c r="AQ47" s="791"/>
      <c r="AR47" s="791"/>
      <c r="AS47" s="791"/>
      <c r="AT47" s="791"/>
      <c r="AU47" s="791"/>
      <c r="AV47" s="791"/>
      <c r="AW47" s="792"/>
      <c r="AY47" s="821" t="s">
        <v>76</v>
      </c>
      <c r="AZ47" s="822"/>
      <c r="BA47" s="823">
        <f>BA46*BA48</f>
        <v>0</v>
      </c>
      <c r="BB47" s="824"/>
      <c r="BC47" s="825"/>
      <c r="BD47" s="123"/>
    </row>
    <row r="48" spans="1:58" ht="15.95" customHeight="1" thickTop="1" thickBot="1">
      <c r="A48" s="782"/>
      <c r="B48" s="291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287"/>
      <c r="AA48" s="287"/>
      <c r="AB48" s="287"/>
      <c r="AC48" s="287"/>
      <c r="AD48" s="287"/>
      <c r="AE48" s="287"/>
      <c r="AF48" s="287"/>
      <c r="AG48" s="287"/>
      <c r="AH48" s="287"/>
      <c r="AI48" s="287"/>
      <c r="AJ48" s="287"/>
      <c r="AK48" s="288"/>
      <c r="AL48" s="81"/>
      <c r="AM48" s="790"/>
      <c r="AN48" s="791"/>
      <c r="AO48" s="791"/>
      <c r="AP48" s="791"/>
      <c r="AQ48" s="791"/>
      <c r="AR48" s="791"/>
      <c r="AS48" s="791"/>
      <c r="AT48" s="791"/>
      <c r="AU48" s="791"/>
      <c r="AV48" s="791"/>
      <c r="AW48" s="792"/>
      <c r="AY48" s="821" t="s">
        <v>75</v>
      </c>
      <c r="AZ48" s="822"/>
      <c r="BA48" s="826">
        <v>3019</v>
      </c>
      <c r="BB48" s="827"/>
      <c r="BC48" s="828"/>
    </row>
    <row r="49" spans="1:55" ht="15.95" customHeight="1" thickTop="1" thickBot="1">
      <c r="A49" s="783"/>
      <c r="B49" s="292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  <c r="Z49" s="289"/>
      <c r="AA49" s="289"/>
      <c r="AB49" s="289"/>
      <c r="AC49" s="289"/>
      <c r="AD49" s="289"/>
      <c r="AE49" s="289"/>
      <c r="AF49" s="289"/>
      <c r="AG49" s="289"/>
      <c r="AH49" s="289"/>
      <c r="AI49" s="289"/>
      <c r="AJ49" s="289"/>
      <c r="AK49" s="290"/>
      <c r="AL49" s="275"/>
      <c r="AM49" s="799"/>
      <c r="AN49" s="800"/>
      <c r="AO49" s="800"/>
      <c r="AP49" s="800"/>
      <c r="AQ49" s="800"/>
      <c r="AR49" s="800"/>
      <c r="AS49" s="800"/>
      <c r="AT49" s="800"/>
      <c r="AU49" s="800"/>
      <c r="AV49" s="800"/>
      <c r="AW49" s="801"/>
      <c r="AY49" s="802" t="s">
        <v>190</v>
      </c>
      <c r="AZ49" s="803"/>
      <c r="BA49" s="803"/>
      <c r="BB49" s="803"/>
      <c r="BC49" s="804"/>
    </row>
    <row r="51" spans="1:55" ht="14.25" thickBot="1"/>
    <row r="52" spans="1:55" ht="14.25" thickTop="1">
      <c r="AY52" s="235" t="s">
        <v>252</v>
      </c>
      <c r="AZ52" s="815" t="s">
        <v>212</v>
      </c>
      <c r="BA52" s="816"/>
      <c r="BB52" s="815" t="s">
        <v>214</v>
      </c>
      <c r="BC52" s="817"/>
    </row>
    <row r="53" spans="1:55">
      <c r="AY53" s="233" t="s">
        <v>176</v>
      </c>
      <c r="AZ53" s="236" t="s">
        <v>44</v>
      </c>
      <c r="BA53" s="237" t="s">
        <v>177</v>
      </c>
      <c r="BB53" s="234" t="s">
        <v>45</v>
      </c>
      <c r="BC53" s="232" t="s">
        <v>177</v>
      </c>
    </row>
    <row r="54" spans="1:55" ht="14.25" thickBot="1">
      <c r="AY54" s="252">
        <v>29</v>
      </c>
      <c r="AZ54" s="255">
        <f>AW36</f>
        <v>0</v>
      </c>
      <c r="BA54" s="253" t="e">
        <f>AW37</f>
        <v>#DIV/0!</v>
      </c>
      <c r="BB54" s="256">
        <f>AV36</f>
        <v>0</v>
      </c>
      <c r="BC54" s="254" t="e">
        <f>AV37</f>
        <v>#DIV/0!</v>
      </c>
    </row>
    <row r="55" spans="1:55" ht="14.25" thickTop="1"/>
  </sheetData>
  <mergeCells count="70">
    <mergeCell ref="AZ52:BA52"/>
    <mergeCell ref="BB52:BC52"/>
    <mergeCell ref="BA46:BC46"/>
    <mergeCell ref="AM47:AW47"/>
    <mergeCell ref="AY47:AZ47"/>
    <mergeCell ref="BA47:BC47"/>
    <mergeCell ref="AM48:AW48"/>
    <mergeCell ref="AY48:AZ48"/>
    <mergeCell ref="BA48:BC48"/>
    <mergeCell ref="AY40:BC40"/>
    <mergeCell ref="B41:C41"/>
    <mergeCell ref="D41:L41"/>
    <mergeCell ref="AM41:AW41"/>
    <mergeCell ref="AY41:AZ41"/>
    <mergeCell ref="A42:A49"/>
    <mergeCell ref="AM42:AW42"/>
    <mergeCell ref="AY42:AZ42"/>
    <mergeCell ref="AM43:AW43"/>
    <mergeCell ref="AY43:AZ43"/>
    <mergeCell ref="AM44:AW44"/>
    <mergeCell ref="AY44:AZ44"/>
    <mergeCell ref="AM45:AW45"/>
    <mergeCell ref="AY45:AZ45"/>
    <mergeCell ref="AM46:AW46"/>
    <mergeCell ref="AY46:AZ46"/>
    <mergeCell ref="AM49:AW49"/>
    <mergeCell ref="AY49:BC49"/>
    <mergeCell ref="A40:A41"/>
    <mergeCell ref="AM40:AW40"/>
    <mergeCell ref="AT29:AU29"/>
    <mergeCell ref="AT30:AU30"/>
    <mergeCell ref="AT31:AU31"/>
    <mergeCell ref="AT32:AU32"/>
    <mergeCell ref="AT33:AU33"/>
    <mergeCell ref="AT34:AU34"/>
    <mergeCell ref="AT35:AU35"/>
    <mergeCell ref="AT36:AU36"/>
    <mergeCell ref="AU37:AU39"/>
    <mergeCell ref="AV37:AV39"/>
    <mergeCell ref="AW37:AW39"/>
    <mergeCell ref="AT28:AU28"/>
    <mergeCell ref="AT17:AU17"/>
    <mergeCell ref="AT18:AU18"/>
    <mergeCell ref="AT19:AU19"/>
    <mergeCell ref="AT20:AU20"/>
    <mergeCell ref="AT21:AU21"/>
    <mergeCell ref="AT22:AU22"/>
    <mergeCell ref="AT23:AU23"/>
    <mergeCell ref="AT24:AU24"/>
    <mergeCell ref="AT25:AU25"/>
    <mergeCell ref="AT26:AU26"/>
    <mergeCell ref="AT27:AU27"/>
    <mergeCell ref="AT16:AU16"/>
    <mergeCell ref="AT5:AU5"/>
    <mergeCell ref="AT6:AU6"/>
    <mergeCell ref="AT7:AU7"/>
    <mergeCell ref="AT8:AU8"/>
    <mergeCell ref="AT9:AU9"/>
    <mergeCell ref="AT10:AU10"/>
    <mergeCell ref="AT11:AU11"/>
    <mergeCell ref="AT12:AU12"/>
    <mergeCell ref="AT13:AU13"/>
    <mergeCell ref="AT14:AU14"/>
    <mergeCell ref="AT15:AU15"/>
    <mergeCell ref="AT4:AU4"/>
    <mergeCell ref="A1:AV1"/>
    <mergeCell ref="A2:A3"/>
    <mergeCell ref="B2:AW2"/>
    <mergeCell ref="AY2:BB2"/>
    <mergeCell ref="AT3:AU3"/>
  </mergeCells>
  <phoneticPr fontId="4" type="noConversion"/>
  <printOptions horizontalCentered="1" verticalCentered="1"/>
  <pageMargins left="0.11811023622047245" right="0.11811023622047245" top="0.35433070866141736" bottom="0.35433070866141736" header="0" footer="0"/>
  <rowBreaks count="1" manualBreakCount="1">
    <brk id="1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55"/>
  <sheetViews>
    <sheetView tabSelected="1" zoomScaleNormal="100" zoomScaleSheetLayoutView="85" workbookViewId="0">
      <pane xSplit="1" ySplit="4" topLeftCell="B23" activePane="bottomRight" state="frozen"/>
      <selection pane="topRight" activeCell="B1" sqref="B1"/>
      <selection pane="bottomLeft" activeCell="A6" sqref="A6"/>
      <selection pane="bottomRight" activeCell="E32" sqref="E32"/>
    </sheetView>
  </sheetViews>
  <sheetFormatPr defaultRowHeight="13.5"/>
  <cols>
    <col min="1" max="1" customWidth="true" width="5.77734375" collapsed="true"/>
    <col min="2" max="5" customWidth="true" width="7.77734375" collapsed="true"/>
    <col min="6" max="6" customWidth="true" hidden="true" width="7.5546875" collapsed="true"/>
    <col min="7" max="8" customWidth="true" width="7.77734375" collapsed="true"/>
    <col min="9" max="9" customWidth="true" hidden="true" width="7.77734375" collapsed="true"/>
    <col min="10" max="10" customWidth="true" width="7.77734375" collapsed="true"/>
    <col min="11" max="11" customWidth="true" hidden="true" width="7.77734375" collapsed="true"/>
    <col min="12" max="12" customWidth="true" width="7.77734375" collapsed="true"/>
    <col min="13" max="15" customWidth="true" hidden="true" width="7.77734375" collapsed="true"/>
    <col min="16" max="16" customWidth="true" width="6.77734375" collapsed="true"/>
    <col min="17" max="17" customWidth="true" width="7.77734375" collapsed="true"/>
    <col min="18" max="22" customWidth="true" hidden="true" width="6.77734375" collapsed="true"/>
    <col min="23" max="23" customWidth="true" hidden="true" width="7.77734375" collapsed="true"/>
    <col min="24" max="24" customWidth="true" width="7.6640625" collapsed="true"/>
    <col min="25" max="25" customWidth="true" hidden="true" width="6.77734375" collapsed="true"/>
    <col min="26" max="26" customWidth="true" width="6.77734375" collapsed="true"/>
    <col min="27" max="30" customWidth="true" hidden="true" width="6.77734375" collapsed="true"/>
    <col min="31" max="31" customWidth="true" width="8.0" collapsed="true"/>
    <col min="32" max="32" customWidth="true" width="9.6640625" collapsed="true"/>
    <col min="33" max="34" customWidth="true" width="7.77734375" collapsed="true"/>
    <col min="35" max="36" customWidth="true" hidden="true" width="7.77734375" collapsed="true"/>
    <col min="37" max="37" customWidth="true" width="6.77734375" collapsed="true"/>
    <col min="38" max="38" customWidth="true" width="7.77734375" collapsed="true"/>
    <col min="39" max="40" customWidth="true" hidden="true" width="7.77734375" collapsed="true"/>
    <col min="41" max="42" customWidth="true" width="7.77734375" collapsed="true"/>
    <col min="43" max="45" customWidth="true" hidden="true" width="6.33203125" collapsed="true"/>
    <col min="46" max="46" customWidth="true" width="6.33203125" collapsed="true"/>
    <col min="47" max="47" customWidth="true" width="2.33203125" collapsed="true"/>
    <col min="48" max="49" customWidth="true" width="7.77734375" collapsed="true"/>
    <col min="52" max="52" customWidth="true" width="9.77734375" collapsed="true"/>
    <col min="56" max="57" bestFit="true" customWidth="true" width="10.21875" collapsed="true"/>
    <col min="58" max="58" bestFit="true" customWidth="true" width="10.6640625" collapsed="true"/>
  </cols>
  <sheetData>
    <row r="1" spans="1:57" ht="27" thickBot="1">
      <c r="A1" s="747" t="s">
        <v>254</v>
      </c>
      <c r="B1" s="747"/>
      <c r="C1" s="747"/>
      <c r="D1" s="747"/>
      <c r="E1" s="747"/>
      <c r="F1" s="747"/>
      <c r="G1" s="747"/>
      <c r="H1" s="747"/>
      <c r="I1" s="747"/>
      <c r="J1" s="747"/>
      <c r="K1" s="747"/>
      <c r="L1" s="747"/>
      <c r="M1" s="747"/>
      <c r="N1" s="747"/>
      <c r="O1" s="747"/>
      <c r="P1" s="747"/>
      <c r="Q1" s="747"/>
      <c r="R1" s="747"/>
      <c r="S1" s="747"/>
      <c r="T1" s="747"/>
      <c r="U1" s="747"/>
      <c r="V1" s="747"/>
      <c r="W1" s="747"/>
      <c r="X1" s="747"/>
      <c r="Y1" s="747"/>
      <c r="Z1" s="747"/>
      <c r="AA1" s="747"/>
      <c r="AB1" s="747"/>
      <c r="AC1" s="747"/>
      <c r="AD1" s="747"/>
      <c r="AE1" s="747"/>
      <c r="AF1" s="747"/>
      <c r="AG1" s="747"/>
      <c r="AH1" s="747"/>
      <c r="AI1" s="747"/>
      <c r="AJ1" s="747"/>
      <c r="AK1" s="747"/>
      <c r="AL1" s="747"/>
      <c r="AM1" s="747"/>
      <c r="AN1" s="747"/>
      <c r="AO1" s="747"/>
      <c r="AP1" s="747"/>
      <c r="AQ1" s="747"/>
      <c r="AR1" s="747"/>
      <c r="AS1" s="747"/>
      <c r="AT1" s="747"/>
      <c r="AU1" s="747"/>
      <c r="AV1" s="747"/>
      <c r="AW1" s="13"/>
    </row>
    <row r="2" spans="1:57" ht="21" customHeight="1" thickBot="1">
      <c r="A2" s="748" t="s">
        <v>0</v>
      </c>
      <c r="B2" s="750"/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0"/>
      <c r="U2" s="750"/>
      <c r="V2" s="750"/>
      <c r="W2" s="750"/>
      <c r="X2" s="750"/>
      <c r="Y2" s="750"/>
      <c r="Z2" s="750"/>
      <c r="AA2" s="750"/>
      <c r="AB2" s="750"/>
      <c r="AC2" s="750"/>
      <c r="AD2" s="750"/>
      <c r="AE2" s="750"/>
      <c r="AF2" s="750"/>
      <c r="AG2" s="750"/>
      <c r="AH2" s="750"/>
      <c r="AI2" s="750"/>
      <c r="AJ2" s="750"/>
      <c r="AK2" s="750"/>
      <c r="AL2" s="750"/>
      <c r="AM2" s="750"/>
      <c r="AN2" s="750"/>
      <c r="AO2" s="750"/>
      <c r="AP2" s="750"/>
      <c r="AQ2" s="750"/>
      <c r="AR2" s="750"/>
      <c r="AS2" s="750"/>
      <c r="AT2" s="750"/>
      <c r="AU2" s="750"/>
      <c r="AV2" s="750"/>
      <c r="AW2" s="751"/>
      <c r="AY2" s="752"/>
      <c r="AZ2" s="752"/>
      <c r="BA2" s="752"/>
      <c r="BB2" s="752"/>
    </row>
    <row r="3" spans="1:57" ht="50.1" customHeight="1">
      <c r="A3" s="749"/>
      <c r="B3" s="62" t="s">
        <v>71</v>
      </c>
      <c r="C3" s="63" t="s">
        <v>61</v>
      </c>
      <c r="D3" s="25" t="s">
        <v>175</v>
      </c>
      <c r="E3" s="24" t="s">
        <v>173</v>
      </c>
      <c r="F3" s="24"/>
      <c r="G3" s="24" t="s">
        <v>206</v>
      </c>
      <c r="H3" s="24" t="s">
        <v>205</v>
      </c>
      <c r="I3" s="24" t="s">
        <v>28</v>
      </c>
      <c r="J3" s="24" t="s">
        <v>151</v>
      </c>
      <c r="K3" s="24" t="s">
        <v>174</v>
      </c>
      <c r="L3" s="24" t="s">
        <v>203</v>
      </c>
      <c r="M3" s="24" t="s">
        <v>48</v>
      </c>
      <c r="N3" s="24" t="s">
        <v>52</v>
      </c>
      <c r="O3" s="24" t="s">
        <v>53</v>
      </c>
      <c r="P3" s="26" t="s">
        <v>43</v>
      </c>
      <c r="Q3" s="27" t="s">
        <v>18</v>
      </c>
      <c r="R3" s="28" t="s">
        <v>193</v>
      </c>
      <c r="S3" s="28" t="s">
        <v>20</v>
      </c>
      <c r="T3" s="29" t="s">
        <v>32</v>
      </c>
      <c r="U3" s="30" t="s">
        <v>21</v>
      </c>
      <c r="V3" s="316" t="s">
        <v>66</v>
      </c>
      <c r="W3" s="30" t="s">
        <v>72</v>
      </c>
      <c r="X3" s="358" t="s">
        <v>38</v>
      </c>
      <c r="Y3" s="359" t="s">
        <v>181</v>
      </c>
      <c r="Z3" s="359" t="s">
        <v>202</v>
      </c>
      <c r="AA3" s="359" t="s">
        <v>49</v>
      </c>
      <c r="AB3" s="359" t="s">
        <v>50</v>
      </c>
      <c r="AC3" s="359" t="s">
        <v>51</v>
      </c>
      <c r="AD3" s="359" t="s">
        <v>24</v>
      </c>
      <c r="AE3" s="360" t="s">
        <v>33</v>
      </c>
      <c r="AF3" s="361" t="s">
        <v>19</v>
      </c>
      <c r="AG3" s="356" t="s">
        <v>198</v>
      </c>
      <c r="AH3" s="31" t="s">
        <v>42</v>
      </c>
      <c r="AI3" s="31" t="s">
        <v>36</v>
      </c>
      <c r="AJ3" s="31" t="s">
        <v>114</v>
      </c>
      <c r="AK3" s="32" t="s">
        <v>201</v>
      </c>
      <c r="AL3" s="313" t="s">
        <v>196</v>
      </c>
      <c r="AM3" s="33" t="s">
        <v>36</v>
      </c>
      <c r="AN3" s="315" t="s">
        <v>114</v>
      </c>
      <c r="AO3" s="322" t="s">
        <v>200</v>
      </c>
      <c r="AP3" s="346" t="s">
        <v>26</v>
      </c>
      <c r="AQ3" s="309" t="s">
        <v>36</v>
      </c>
      <c r="AR3" s="34" t="s">
        <v>47</v>
      </c>
      <c r="AS3" s="311" t="s">
        <v>48</v>
      </c>
      <c r="AT3" s="753" t="s">
        <v>156</v>
      </c>
      <c r="AU3" s="754"/>
      <c r="AV3" s="229" t="s">
        <v>213</v>
      </c>
      <c r="AW3" s="86" t="s">
        <v>211</v>
      </c>
      <c r="AY3" s="417"/>
      <c r="AZ3" s="417"/>
      <c r="BA3" s="417"/>
      <c r="BB3" s="417"/>
    </row>
    <row r="4" spans="1:57" ht="27.75" customHeight="1" thickBot="1">
      <c r="A4" s="14" t="s">
        <v>27</v>
      </c>
      <c r="B4" s="35" t="s">
        <v>172</v>
      </c>
      <c r="C4" s="35" t="s">
        <v>157</v>
      </c>
      <c r="D4" s="35" t="s">
        <v>62</v>
      </c>
      <c r="E4" s="36" t="s">
        <v>159</v>
      </c>
      <c r="F4" s="36"/>
      <c r="G4" s="36" t="s">
        <v>178</v>
      </c>
      <c r="H4" s="36" t="s">
        <v>158</v>
      </c>
      <c r="I4" s="36"/>
      <c r="J4" s="36" t="s">
        <v>179</v>
      </c>
      <c r="K4" s="36" t="s">
        <v>160</v>
      </c>
      <c r="L4" s="36" t="s">
        <v>204</v>
      </c>
      <c r="M4" s="36"/>
      <c r="N4" s="36"/>
      <c r="O4" s="37"/>
      <c r="P4" s="38"/>
      <c r="Q4" s="39"/>
      <c r="R4" s="40" t="s">
        <v>183</v>
      </c>
      <c r="S4" s="40"/>
      <c r="T4" s="40" t="s">
        <v>64</v>
      </c>
      <c r="U4" s="41"/>
      <c r="V4" s="317" t="s">
        <v>65</v>
      </c>
      <c r="W4" s="355" t="s">
        <v>35</v>
      </c>
      <c r="X4" s="317" t="s">
        <v>161</v>
      </c>
      <c r="Y4" s="40" t="s">
        <v>182</v>
      </c>
      <c r="Z4" s="41" t="s">
        <v>207</v>
      </c>
      <c r="AA4" s="41"/>
      <c r="AB4" s="41"/>
      <c r="AC4" s="41"/>
      <c r="AD4" s="41"/>
      <c r="AE4" s="42"/>
      <c r="AF4" s="362" t="s">
        <v>60</v>
      </c>
      <c r="AG4" s="357" t="s">
        <v>199</v>
      </c>
      <c r="AH4" s="43" t="s">
        <v>171</v>
      </c>
      <c r="AI4" s="43"/>
      <c r="AJ4" s="43"/>
      <c r="AK4" s="44"/>
      <c r="AL4" s="314"/>
      <c r="AM4" s="45"/>
      <c r="AN4" s="308"/>
      <c r="AO4" s="323"/>
      <c r="AP4" s="347"/>
      <c r="AQ4" s="310"/>
      <c r="AR4" s="46"/>
      <c r="AS4" s="312"/>
      <c r="AT4" s="745" t="s">
        <v>191</v>
      </c>
      <c r="AU4" s="746"/>
      <c r="AV4" s="230"/>
      <c r="AW4" s="47"/>
      <c r="AY4" s="418"/>
      <c r="AZ4" s="418"/>
      <c r="BA4" s="419"/>
      <c r="BB4" s="1"/>
    </row>
    <row r="5" spans="1:57" s="5" customFormat="1" ht="21" customHeight="1">
      <c r="A5" s="657" t="s">
        <v>220</v>
      </c>
      <c r="B5" s="658"/>
      <c r="C5" s="658"/>
      <c r="D5" s="658"/>
      <c r="E5" s="658"/>
      <c r="F5" s="658"/>
      <c r="G5" s="658"/>
      <c r="H5" s="658"/>
      <c r="I5" s="658"/>
      <c r="J5" s="658"/>
      <c r="K5" s="658"/>
      <c r="L5" s="658"/>
      <c r="M5" s="659"/>
      <c r="N5" s="659"/>
      <c r="O5" s="660"/>
      <c r="P5" s="661">
        <f t="shared" ref="P5:P29" si="0">SUM(B5:O5)</f>
        <v>0</v>
      </c>
      <c r="Q5" s="662" t="e">
        <f t="shared" ref="Q5:Q35" si="1">P5/AV5</f>
        <v>#DIV/0!</v>
      </c>
      <c r="R5" s="663"/>
      <c r="S5" s="658"/>
      <c r="T5" s="658"/>
      <c r="U5" s="664"/>
      <c r="V5" s="665"/>
      <c r="W5" s="664"/>
      <c r="X5" s="665"/>
      <c r="Y5" s="658"/>
      <c r="Z5" s="658"/>
      <c r="AA5" s="658"/>
      <c r="AB5" s="658"/>
      <c r="AC5" s="658"/>
      <c r="AD5" s="658"/>
      <c r="AE5" s="664"/>
      <c r="AF5" s="666">
        <f t="shared" ref="AF5:AF35" si="2">SUM(R5:AE5)</f>
        <v>0</v>
      </c>
      <c r="AG5" s="667"/>
      <c r="AH5" s="658"/>
      <c r="AI5" s="658"/>
      <c r="AJ5" s="658"/>
      <c r="AK5" s="668"/>
      <c r="AL5" s="667">
        <f>AG5+AK5+AH5</f>
        <v>0</v>
      </c>
      <c r="AM5" s="661"/>
      <c r="AN5" s="664"/>
      <c r="AO5" s="669"/>
      <c r="AP5" s="670"/>
      <c r="AQ5" s="667"/>
      <c r="AR5" s="658"/>
      <c r="AS5" s="664"/>
      <c r="AT5" s="833"/>
      <c r="AU5" s="834"/>
      <c r="AV5" s="671">
        <f>P5+AF5+AL5+AM5+AP5+AO5+AT5</f>
        <v>0</v>
      </c>
      <c r="AW5" s="672"/>
      <c r="AY5" s="420"/>
      <c r="AZ5" s="420"/>
      <c r="BA5" s="421"/>
      <c r="BB5" s="421"/>
    </row>
    <row r="6" spans="1:57" s="4" customFormat="1" ht="21" customHeight="1" thickBot="1">
      <c r="A6" s="673" t="s">
        <v>221</v>
      </c>
      <c r="B6" s="674"/>
      <c r="C6" s="674"/>
      <c r="D6" s="674"/>
      <c r="E6" s="674"/>
      <c r="F6" s="674"/>
      <c r="G6" s="674"/>
      <c r="H6" s="674"/>
      <c r="I6" s="674"/>
      <c r="J6" s="674"/>
      <c r="K6" s="674"/>
      <c r="L6" s="674"/>
      <c r="M6" s="674"/>
      <c r="N6" s="674"/>
      <c r="O6" s="675"/>
      <c r="P6" s="676">
        <f t="shared" si="0"/>
        <v>0</v>
      </c>
      <c r="Q6" s="677" t="e">
        <f t="shared" si="1"/>
        <v>#DIV/0!</v>
      </c>
      <c r="R6" s="678"/>
      <c r="S6" s="674"/>
      <c r="T6" s="674"/>
      <c r="U6" s="675"/>
      <c r="V6" s="679"/>
      <c r="W6" s="675"/>
      <c r="X6" s="679"/>
      <c r="Y6" s="674"/>
      <c r="Z6" s="674"/>
      <c r="AA6" s="674"/>
      <c r="AB6" s="674"/>
      <c r="AC6" s="674"/>
      <c r="AD6" s="674"/>
      <c r="AE6" s="675"/>
      <c r="AF6" s="680">
        <f t="shared" si="2"/>
        <v>0</v>
      </c>
      <c r="AG6" s="678"/>
      <c r="AH6" s="674"/>
      <c r="AI6" s="674"/>
      <c r="AJ6" s="674"/>
      <c r="AK6" s="681"/>
      <c r="AL6" s="678">
        <f t="shared" ref="AL6:AL35" si="3">AG6+AK6+AH6</f>
        <v>0</v>
      </c>
      <c r="AM6" s="676"/>
      <c r="AN6" s="675"/>
      <c r="AO6" s="682"/>
      <c r="AP6" s="683"/>
      <c r="AQ6" s="678"/>
      <c r="AR6" s="674"/>
      <c r="AS6" s="675"/>
      <c r="AT6" s="831"/>
      <c r="AU6" s="832"/>
      <c r="AV6" s="684">
        <f t="shared" ref="AV6:AV35" si="4">P6+AF6+AL6+AM6+AP6+AO6+AT6</f>
        <v>0</v>
      </c>
      <c r="AW6" s="685"/>
      <c r="AY6" s="422"/>
      <c r="AZ6" s="422"/>
      <c r="BA6" s="423"/>
      <c r="BB6" s="423"/>
    </row>
    <row r="7" spans="1:57" s="4" customFormat="1" ht="21" customHeight="1">
      <c r="A7" s="673" t="s">
        <v>222</v>
      </c>
      <c r="B7" s="686"/>
      <c r="C7" s="686"/>
      <c r="D7" s="686"/>
      <c r="E7" s="686"/>
      <c r="F7" s="686"/>
      <c r="G7" s="686"/>
      <c r="H7" s="686"/>
      <c r="I7" s="686"/>
      <c r="J7" s="686"/>
      <c r="K7" s="686"/>
      <c r="L7" s="686"/>
      <c r="M7" s="686"/>
      <c r="N7" s="686"/>
      <c r="O7" s="687"/>
      <c r="P7" s="688">
        <f t="shared" si="0"/>
        <v>0</v>
      </c>
      <c r="Q7" s="689" t="e">
        <f t="shared" si="1"/>
        <v>#DIV/0!</v>
      </c>
      <c r="R7" s="690"/>
      <c r="S7" s="686"/>
      <c r="T7" s="686"/>
      <c r="U7" s="687"/>
      <c r="V7" s="691"/>
      <c r="W7" s="687"/>
      <c r="X7" s="691"/>
      <c r="Y7" s="686"/>
      <c r="Z7" s="686"/>
      <c r="AA7" s="686"/>
      <c r="AB7" s="686"/>
      <c r="AC7" s="686"/>
      <c r="AD7" s="686"/>
      <c r="AE7" s="687"/>
      <c r="AF7" s="692">
        <f t="shared" si="2"/>
        <v>0</v>
      </c>
      <c r="AG7" s="690"/>
      <c r="AH7" s="686"/>
      <c r="AI7" s="686"/>
      <c r="AJ7" s="686"/>
      <c r="AK7" s="693"/>
      <c r="AL7" s="690">
        <f t="shared" si="3"/>
        <v>0</v>
      </c>
      <c r="AM7" s="688"/>
      <c r="AN7" s="687"/>
      <c r="AO7" s="694"/>
      <c r="AP7" s="695"/>
      <c r="AQ7" s="690"/>
      <c r="AR7" s="686"/>
      <c r="AS7" s="687"/>
      <c r="AT7" s="761"/>
      <c r="AU7" s="762"/>
      <c r="AV7" s="696">
        <f t="shared" si="4"/>
        <v>0</v>
      </c>
      <c r="AW7" s="697"/>
      <c r="AY7" s="422"/>
      <c r="AZ7" s="422"/>
      <c r="BA7" s="423"/>
      <c r="BB7" s="423"/>
    </row>
    <row r="8" spans="1:57" s="6" customFormat="1" ht="21" customHeight="1">
      <c r="A8" s="673" t="s">
        <v>223</v>
      </c>
      <c r="B8" s="698"/>
      <c r="C8" s="698"/>
      <c r="D8" s="698"/>
      <c r="E8" s="698"/>
      <c r="F8" s="698"/>
      <c r="G8" s="698"/>
      <c r="H8" s="698"/>
      <c r="I8" s="698"/>
      <c r="J8" s="698"/>
      <c r="K8" s="698"/>
      <c r="L8" s="698"/>
      <c r="M8" s="698"/>
      <c r="N8" s="698"/>
      <c r="O8" s="699"/>
      <c r="P8" s="700">
        <f t="shared" si="0"/>
        <v>0</v>
      </c>
      <c r="Q8" s="701" t="e">
        <f t="shared" si="1"/>
        <v>#DIV/0!</v>
      </c>
      <c r="R8" s="702"/>
      <c r="S8" s="698"/>
      <c r="T8" s="698"/>
      <c r="U8" s="699"/>
      <c r="V8" s="703"/>
      <c r="W8" s="699"/>
      <c r="X8" s="703"/>
      <c r="Y8" s="698"/>
      <c r="Z8" s="698"/>
      <c r="AA8" s="698"/>
      <c r="AB8" s="698"/>
      <c r="AC8" s="698"/>
      <c r="AD8" s="698"/>
      <c r="AE8" s="699"/>
      <c r="AF8" s="704">
        <f t="shared" si="2"/>
        <v>0</v>
      </c>
      <c r="AG8" s="702"/>
      <c r="AH8" s="698"/>
      <c r="AI8" s="698"/>
      <c r="AJ8" s="698"/>
      <c r="AK8" s="705"/>
      <c r="AL8" s="702">
        <f t="shared" si="3"/>
        <v>0</v>
      </c>
      <c r="AM8" s="700"/>
      <c r="AN8" s="699"/>
      <c r="AO8" s="706"/>
      <c r="AP8" s="707"/>
      <c r="AQ8" s="702"/>
      <c r="AR8" s="698"/>
      <c r="AS8" s="699"/>
      <c r="AT8" s="755"/>
      <c r="AU8" s="756"/>
      <c r="AV8" s="708">
        <f t="shared" si="4"/>
        <v>0</v>
      </c>
      <c r="AW8" s="709"/>
      <c r="AY8" s="13"/>
      <c r="AZ8" s="13"/>
      <c r="BA8" s="424"/>
      <c r="BB8" s="424"/>
    </row>
    <row r="9" spans="1:57" s="123" customFormat="1" ht="21" customHeight="1">
      <c r="A9" s="673" t="s">
        <v>224</v>
      </c>
      <c r="B9" s="710"/>
      <c r="C9" s="710"/>
      <c r="D9" s="710"/>
      <c r="E9" s="710"/>
      <c r="F9" s="710"/>
      <c r="G9" s="710"/>
      <c r="H9" s="710"/>
      <c r="I9" s="710"/>
      <c r="J9" s="710"/>
      <c r="K9" s="710"/>
      <c r="L9" s="710"/>
      <c r="M9" s="698"/>
      <c r="N9" s="698"/>
      <c r="O9" s="699"/>
      <c r="P9" s="700">
        <f t="shared" si="0"/>
        <v>0</v>
      </c>
      <c r="Q9" s="701" t="e">
        <f t="shared" si="1"/>
        <v>#DIV/0!</v>
      </c>
      <c r="R9" s="702"/>
      <c r="S9" s="698"/>
      <c r="T9" s="698"/>
      <c r="U9" s="699"/>
      <c r="V9" s="703"/>
      <c r="W9" s="699"/>
      <c r="X9" s="703"/>
      <c r="Y9" s="698"/>
      <c r="Z9" s="698"/>
      <c r="AA9" s="698"/>
      <c r="AB9" s="698"/>
      <c r="AC9" s="698"/>
      <c r="AD9" s="698"/>
      <c r="AE9" s="699"/>
      <c r="AF9" s="704">
        <f t="shared" si="2"/>
        <v>0</v>
      </c>
      <c r="AG9" s="702"/>
      <c r="AH9" s="710"/>
      <c r="AI9" s="710"/>
      <c r="AJ9" s="710"/>
      <c r="AK9" s="711"/>
      <c r="AL9" s="702">
        <f t="shared" si="3"/>
        <v>0</v>
      </c>
      <c r="AM9" s="700"/>
      <c r="AN9" s="699"/>
      <c r="AO9" s="706"/>
      <c r="AP9" s="707"/>
      <c r="AQ9" s="702"/>
      <c r="AR9" s="698"/>
      <c r="AS9" s="699"/>
      <c r="AT9" s="755"/>
      <c r="AU9" s="756"/>
      <c r="AV9" s="708">
        <f t="shared" si="4"/>
        <v>0</v>
      </c>
      <c r="AW9" s="709"/>
      <c r="AY9" s="13"/>
      <c r="AZ9" s="13"/>
      <c r="BA9" s="424"/>
      <c r="BB9" s="424"/>
      <c r="BE9" s="4"/>
    </row>
    <row r="10" spans="1:57" s="5" customFormat="1" ht="21" customHeight="1">
      <c r="A10" s="673" t="s">
        <v>225</v>
      </c>
      <c r="B10" s="698"/>
      <c r="C10" s="698"/>
      <c r="D10" s="698"/>
      <c r="E10" s="698"/>
      <c r="F10" s="698"/>
      <c r="G10" s="698"/>
      <c r="H10" s="698"/>
      <c r="I10" s="698"/>
      <c r="J10" s="698"/>
      <c r="K10" s="698"/>
      <c r="L10" s="698"/>
      <c r="M10" s="698"/>
      <c r="N10" s="698"/>
      <c r="O10" s="699"/>
      <c r="P10" s="700">
        <f t="shared" si="0"/>
        <v>0</v>
      </c>
      <c r="Q10" s="701" t="e">
        <f t="shared" si="1"/>
        <v>#DIV/0!</v>
      </c>
      <c r="R10" s="702"/>
      <c r="S10" s="698"/>
      <c r="T10" s="698"/>
      <c r="U10" s="699"/>
      <c r="V10" s="703"/>
      <c r="W10" s="699"/>
      <c r="X10" s="703"/>
      <c r="Y10" s="698"/>
      <c r="Z10" s="698"/>
      <c r="AA10" s="698"/>
      <c r="AB10" s="698"/>
      <c r="AC10" s="698"/>
      <c r="AD10" s="698"/>
      <c r="AE10" s="699"/>
      <c r="AF10" s="704">
        <f t="shared" si="2"/>
        <v>0</v>
      </c>
      <c r="AG10" s="702"/>
      <c r="AH10" s="698"/>
      <c r="AI10" s="698"/>
      <c r="AJ10" s="698"/>
      <c r="AK10" s="705"/>
      <c r="AL10" s="702">
        <f t="shared" si="3"/>
        <v>0</v>
      </c>
      <c r="AM10" s="700"/>
      <c r="AN10" s="699"/>
      <c r="AO10" s="706"/>
      <c r="AP10" s="707"/>
      <c r="AQ10" s="702"/>
      <c r="AR10" s="698"/>
      <c r="AS10" s="699"/>
      <c r="AT10" s="755"/>
      <c r="AU10" s="756"/>
      <c r="AV10" s="708">
        <f t="shared" si="4"/>
        <v>0</v>
      </c>
      <c r="AW10" s="709"/>
      <c r="AY10" s="422"/>
      <c r="AZ10" s="420"/>
      <c r="BA10" s="421"/>
      <c r="BB10" s="421"/>
      <c r="BE10" s="4"/>
    </row>
    <row r="11" spans="1:57" s="4" customFormat="1" ht="21" customHeight="1">
      <c r="A11" s="656" t="s">
        <v>226</v>
      </c>
      <c r="B11" s="698"/>
      <c r="C11" s="698"/>
      <c r="D11" s="698"/>
      <c r="E11" s="698"/>
      <c r="F11" s="698"/>
      <c r="G11" s="698"/>
      <c r="H11" s="698"/>
      <c r="I11" s="698"/>
      <c r="J11" s="698"/>
      <c r="K11" s="698"/>
      <c r="L11" s="698"/>
      <c r="M11" s="698"/>
      <c r="N11" s="698"/>
      <c r="O11" s="699"/>
      <c r="P11" s="700">
        <f t="shared" si="0"/>
        <v>0</v>
      </c>
      <c r="Q11" s="701" t="e">
        <f t="shared" si="1"/>
        <v>#DIV/0!</v>
      </c>
      <c r="R11" s="702"/>
      <c r="S11" s="698"/>
      <c r="T11" s="698"/>
      <c r="U11" s="699"/>
      <c r="V11" s="703"/>
      <c r="W11" s="699"/>
      <c r="X11" s="703"/>
      <c r="Y11" s="698"/>
      <c r="Z11" s="698"/>
      <c r="AA11" s="698"/>
      <c r="AB11" s="698"/>
      <c r="AC11" s="698"/>
      <c r="AD11" s="698"/>
      <c r="AE11" s="699"/>
      <c r="AF11" s="704">
        <f t="shared" si="2"/>
        <v>0</v>
      </c>
      <c r="AG11" s="702"/>
      <c r="AH11" s="698"/>
      <c r="AI11" s="698"/>
      <c r="AJ11" s="698"/>
      <c r="AK11" s="705"/>
      <c r="AL11" s="702">
        <f t="shared" si="3"/>
        <v>0</v>
      </c>
      <c r="AM11" s="700"/>
      <c r="AN11" s="699"/>
      <c r="AO11" s="712"/>
      <c r="AP11" s="707"/>
      <c r="AQ11" s="702"/>
      <c r="AR11" s="698"/>
      <c r="AS11" s="699"/>
      <c r="AT11" s="755"/>
      <c r="AU11" s="756"/>
      <c r="AV11" s="708">
        <f t="shared" si="4"/>
        <v>0</v>
      </c>
      <c r="AW11" s="709"/>
      <c r="AY11" s="422"/>
      <c r="AZ11" s="13"/>
      <c r="BA11" s="423"/>
      <c r="BB11" s="423"/>
      <c r="BD11" s="6"/>
    </row>
    <row r="12" spans="1:57" s="5" customFormat="1" ht="21" customHeight="1">
      <c r="A12" s="657" t="s">
        <v>227</v>
      </c>
      <c r="B12" s="713"/>
      <c r="C12" s="713"/>
      <c r="D12" s="713"/>
      <c r="E12" s="713"/>
      <c r="F12" s="713"/>
      <c r="G12" s="713"/>
      <c r="H12" s="713"/>
      <c r="I12" s="713"/>
      <c r="J12" s="713"/>
      <c r="K12" s="713"/>
      <c r="L12" s="713"/>
      <c r="M12" s="713"/>
      <c r="N12" s="713"/>
      <c r="O12" s="714"/>
      <c r="P12" s="715">
        <f t="shared" si="0"/>
        <v>0</v>
      </c>
      <c r="Q12" s="716" t="e">
        <f t="shared" si="1"/>
        <v>#DIV/0!</v>
      </c>
      <c r="R12" s="717"/>
      <c r="S12" s="713"/>
      <c r="T12" s="713"/>
      <c r="U12" s="714"/>
      <c r="V12" s="718"/>
      <c r="W12" s="714"/>
      <c r="X12" s="718"/>
      <c r="Y12" s="713"/>
      <c r="Z12" s="713"/>
      <c r="AA12" s="713"/>
      <c r="AB12" s="713"/>
      <c r="AC12" s="713"/>
      <c r="AD12" s="713"/>
      <c r="AE12" s="714"/>
      <c r="AF12" s="719">
        <f t="shared" si="2"/>
        <v>0</v>
      </c>
      <c r="AG12" s="717"/>
      <c r="AH12" s="713"/>
      <c r="AI12" s="713"/>
      <c r="AJ12" s="713"/>
      <c r="AK12" s="720"/>
      <c r="AL12" s="717">
        <f t="shared" si="3"/>
        <v>0</v>
      </c>
      <c r="AM12" s="715"/>
      <c r="AN12" s="714"/>
      <c r="AO12" s="721"/>
      <c r="AP12" s="722"/>
      <c r="AQ12" s="717"/>
      <c r="AR12" s="713"/>
      <c r="AS12" s="714"/>
      <c r="AT12" s="835"/>
      <c r="AU12" s="836"/>
      <c r="AV12" s="723">
        <f t="shared" si="4"/>
        <v>0</v>
      </c>
      <c r="AW12" s="724"/>
      <c r="AY12" s="423"/>
      <c r="AZ12" s="422"/>
      <c r="BA12" s="421"/>
      <c r="BB12" s="421"/>
    </row>
    <row r="13" spans="1:57" s="4" customFormat="1" ht="21" customHeight="1" thickBot="1">
      <c r="A13" s="673" t="s">
        <v>228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4"/>
      <c r="N13" s="674"/>
      <c r="O13" s="675"/>
      <c r="P13" s="676">
        <f t="shared" si="0"/>
        <v>0</v>
      </c>
      <c r="Q13" s="677" t="e">
        <f t="shared" si="1"/>
        <v>#DIV/0!</v>
      </c>
      <c r="R13" s="678"/>
      <c r="S13" s="674"/>
      <c r="T13" s="674"/>
      <c r="U13" s="675"/>
      <c r="V13" s="679"/>
      <c r="W13" s="675"/>
      <c r="X13" s="679"/>
      <c r="Y13" s="674"/>
      <c r="Z13" s="674"/>
      <c r="AA13" s="674"/>
      <c r="AB13" s="674"/>
      <c r="AC13" s="674"/>
      <c r="AD13" s="674"/>
      <c r="AE13" s="675"/>
      <c r="AF13" s="680">
        <f t="shared" si="2"/>
        <v>0</v>
      </c>
      <c r="AG13" s="678"/>
      <c r="AH13" s="674"/>
      <c r="AI13" s="674"/>
      <c r="AJ13" s="674"/>
      <c r="AK13" s="681"/>
      <c r="AL13" s="678">
        <f t="shared" si="3"/>
        <v>0</v>
      </c>
      <c r="AM13" s="676"/>
      <c r="AN13" s="675"/>
      <c r="AO13" s="682"/>
      <c r="AP13" s="683"/>
      <c r="AQ13" s="678"/>
      <c r="AR13" s="674"/>
      <c r="AS13" s="675"/>
      <c r="AT13" s="831"/>
      <c r="AU13" s="832"/>
      <c r="AV13" s="684">
        <f t="shared" si="4"/>
        <v>0</v>
      </c>
      <c r="AW13" s="685"/>
      <c r="AY13" s="13"/>
      <c r="AZ13" s="423"/>
      <c r="BA13" s="423"/>
      <c r="BB13" s="423"/>
    </row>
    <row r="14" spans="1:57" s="4" customFormat="1" ht="21" customHeight="1">
      <c r="A14" s="673" t="s">
        <v>229</v>
      </c>
      <c r="B14" s="686"/>
      <c r="C14" s="686"/>
      <c r="D14" s="686"/>
      <c r="E14" s="686"/>
      <c r="F14" s="686"/>
      <c r="G14" s="686"/>
      <c r="H14" s="686"/>
      <c r="I14" s="686"/>
      <c r="J14" s="686"/>
      <c r="K14" s="686"/>
      <c r="L14" s="686"/>
      <c r="M14" s="686"/>
      <c r="N14" s="686"/>
      <c r="O14" s="687"/>
      <c r="P14" s="688">
        <f t="shared" si="0"/>
        <v>0</v>
      </c>
      <c r="Q14" s="689" t="e">
        <f t="shared" si="1"/>
        <v>#DIV/0!</v>
      </c>
      <c r="R14" s="690"/>
      <c r="S14" s="686"/>
      <c r="T14" s="686"/>
      <c r="U14" s="687"/>
      <c r="V14" s="691"/>
      <c r="W14" s="687"/>
      <c r="X14" s="691"/>
      <c r="Y14" s="686"/>
      <c r="Z14" s="686"/>
      <c r="AA14" s="686"/>
      <c r="AB14" s="686"/>
      <c r="AC14" s="686"/>
      <c r="AD14" s="686"/>
      <c r="AE14" s="687"/>
      <c r="AF14" s="692">
        <f t="shared" si="2"/>
        <v>0</v>
      </c>
      <c r="AG14" s="690"/>
      <c r="AH14" s="686"/>
      <c r="AI14" s="686"/>
      <c r="AJ14" s="686"/>
      <c r="AK14" s="693"/>
      <c r="AL14" s="690">
        <f t="shared" si="3"/>
        <v>0</v>
      </c>
      <c r="AM14" s="688"/>
      <c r="AN14" s="687"/>
      <c r="AO14" s="694"/>
      <c r="AP14" s="695"/>
      <c r="AQ14" s="690"/>
      <c r="AR14" s="686"/>
      <c r="AS14" s="687"/>
      <c r="AT14" s="761"/>
      <c r="AU14" s="762"/>
      <c r="AV14" s="696">
        <f t="shared" si="4"/>
        <v>0</v>
      </c>
      <c r="AW14" s="697"/>
      <c r="AY14" s="13"/>
      <c r="AZ14" s="423"/>
      <c r="BA14" s="423"/>
      <c r="BB14" s="423"/>
    </row>
    <row r="15" spans="1:57" s="6" customFormat="1" ht="21" customHeight="1">
      <c r="A15" s="673" t="s">
        <v>230</v>
      </c>
      <c r="B15" s="698"/>
      <c r="C15" s="698"/>
      <c r="D15" s="698"/>
      <c r="E15" s="698"/>
      <c r="F15" s="698"/>
      <c r="G15" s="698"/>
      <c r="H15" s="698"/>
      <c r="I15" s="698"/>
      <c r="J15" s="698"/>
      <c r="K15" s="698"/>
      <c r="L15" s="698"/>
      <c r="M15" s="698"/>
      <c r="N15" s="698"/>
      <c r="O15" s="699"/>
      <c r="P15" s="700">
        <f t="shared" si="0"/>
        <v>0</v>
      </c>
      <c r="Q15" s="701" t="e">
        <f t="shared" si="1"/>
        <v>#DIV/0!</v>
      </c>
      <c r="R15" s="702"/>
      <c r="S15" s="698"/>
      <c r="T15" s="698"/>
      <c r="U15" s="699"/>
      <c r="V15" s="703"/>
      <c r="W15" s="699"/>
      <c r="X15" s="703"/>
      <c r="Y15" s="698"/>
      <c r="Z15" s="698"/>
      <c r="AA15" s="698"/>
      <c r="AB15" s="698"/>
      <c r="AC15" s="698"/>
      <c r="AD15" s="698"/>
      <c r="AE15" s="699"/>
      <c r="AF15" s="704">
        <f t="shared" si="2"/>
        <v>0</v>
      </c>
      <c r="AG15" s="702"/>
      <c r="AH15" s="698"/>
      <c r="AI15" s="698"/>
      <c r="AJ15" s="698"/>
      <c r="AK15" s="705"/>
      <c r="AL15" s="702">
        <f t="shared" si="3"/>
        <v>0</v>
      </c>
      <c r="AM15" s="700"/>
      <c r="AN15" s="699"/>
      <c r="AO15" s="706"/>
      <c r="AP15" s="707"/>
      <c r="AQ15" s="702"/>
      <c r="AR15" s="698"/>
      <c r="AS15" s="699"/>
      <c r="AT15" s="755"/>
      <c r="AU15" s="756"/>
      <c r="AV15" s="708">
        <f t="shared" si="4"/>
        <v>0</v>
      </c>
      <c r="AW15" s="709"/>
      <c r="AY15" s="422"/>
      <c r="AZ15" s="4"/>
      <c r="BA15" s="424"/>
      <c r="BB15" s="424"/>
      <c r="BC15" s="123"/>
      <c r="BD15" s="123"/>
      <c r="BE15" s="123"/>
    </row>
    <row r="16" spans="1:57" s="123" customFormat="1" ht="21" customHeight="1">
      <c r="A16" s="673" t="s">
        <v>231</v>
      </c>
      <c r="B16" s="698"/>
      <c r="C16" s="698"/>
      <c r="D16" s="698"/>
      <c r="E16" s="698"/>
      <c r="F16" s="698"/>
      <c r="G16" s="698"/>
      <c r="H16" s="698"/>
      <c r="I16" s="698"/>
      <c r="J16" s="698"/>
      <c r="K16" s="698"/>
      <c r="L16" s="698"/>
      <c r="M16" s="698"/>
      <c r="N16" s="698"/>
      <c r="O16" s="699"/>
      <c r="P16" s="700">
        <f t="shared" si="0"/>
        <v>0</v>
      </c>
      <c r="Q16" s="701" t="e">
        <f t="shared" si="1"/>
        <v>#DIV/0!</v>
      </c>
      <c r="R16" s="702"/>
      <c r="S16" s="698"/>
      <c r="T16" s="698"/>
      <c r="U16" s="699"/>
      <c r="V16" s="703"/>
      <c r="W16" s="699"/>
      <c r="X16" s="703"/>
      <c r="Y16" s="698"/>
      <c r="Z16" s="698"/>
      <c r="AA16" s="698"/>
      <c r="AB16" s="698"/>
      <c r="AC16" s="698"/>
      <c r="AD16" s="698"/>
      <c r="AE16" s="699"/>
      <c r="AF16" s="704">
        <f t="shared" si="2"/>
        <v>0</v>
      </c>
      <c r="AG16" s="702"/>
      <c r="AH16" s="698"/>
      <c r="AI16" s="698"/>
      <c r="AJ16" s="698"/>
      <c r="AK16" s="705"/>
      <c r="AL16" s="702">
        <f t="shared" si="3"/>
        <v>0</v>
      </c>
      <c r="AM16" s="700"/>
      <c r="AN16" s="699"/>
      <c r="AO16" s="706"/>
      <c r="AP16" s="707"/>
      <c r="AQ16" s="702"/>
      <c r="AR16" s="698"/>
      <c r="AS16" s="699"/>
      <c r="AT16" s="755"/>
      <c r="AU16" s="756"/>
      <c r="AV16" s="708">
        <f t="shared" si="4"/>
        <v>0</v>
      </c>
      <c r="AW16" s="709"/>
      <c r="AY16" s="422"/>
      <c r="AZ16" s="4"/>
      <c r="BA16" s="424"/>
      <c r="BB16" s="424"/>
    </row>
    <row r="17" spans="1:58" s="5" customFormat="1" ht="21" customHeight="1">
      <c r="A17" s="673" t="s">
        <v>232</v>
      </c>
      <c r="B17" s="698"/>
      <c r="C17" s="698"/>
      <c r="D17" s="698"/>
      <c r="E17" s="698"/>
      <c r="F17" s="698"/>
      <c r="G17" s="698"/>
      <c r="H17" s="698"/>
      <c r="I17" s="698"/>
      <c r="J17" s="698"/>
      <c r="K17" s="698"/>
      <c r="L17" s="698"/>
      <c r="M17" s="698"/>
      <c r="N17" s="698"/>
      <c r="O17" s="699"/>
      <c r="P17" s="700">
        <f t="shared" si="0"/>
        <v>0</v>
      </c>
      <c r="Q17" s="701" t="e">
        <f t="shared" si="1"/>
        <v>#DIV/0!</v>
      </c>
      <c r="R17" s="702"/>
      <c r="S17" s="698"/>
      <c r="T17" s="698"/>
      <c r="U17" s="699"/>
      <c r="V17" s="703"/>
      <c r="W17" s="699"/>
      <c r="X17" s="703"/>
      <c r="Y17" s="698"/>
      <c r="Z17" s="698"/>
      <c r="AA17" s="698"/>
      <c r="AB17" s="698"/>
      <c r="AC17" s="698"/>
      <c r="AD17" s="698"/>
      <c r="AE17" s="699"/>
      <c r="AF17" s="704">
        <f t="shared" si="2"/>
        <v>0</v>
      </c>
      <c r="AG17" s="702"/>
      <c r="AH17" s="698"/>
      <c r="AI17" s="698"/>
      <c r="AJ17" s="698"/>
      <c r="AK17" s="705"/>
      <c r="AL17" s="702">
        <f t="shared" si="3"/>
        <v>0</v>
      </c>
      <c r="AM17" s="700"/>
      <c r="AN17" s="699"/>
      <c r="AO17" s="706"/>
      <c r="AP17" s="707"/>
      <c r="AQ17" s="702"/>
      <c r="AR17" s="698"/>
      <c r="AS17" s="699"/>
      <c r="AT17" s="755"/>
      <c r="AU17" s="756"/>
      <c r="AV17" s="708">
        <f t="shared" si="4"/>
        <v>0</v>
      </c>
      <c r="AW17" s="709"/>
      <c r="AY17" s="421"/>
      <c r="AZ17" s="4"/>
      <c r="BA17" s="421"/>
      <c r="BB17" s="421"/>
      <c r="BC17" s="123"/>
    </row>
    <row r="18" spans="1:58" s="4" customFormat="1" ht="21" customHeight="1">
      <c r="A18" s="656" t="s">
        <v>233</v>
      </c>
      <c r="B18" s="698"/>
      <c r="C18" s="698"/>
      <c r="D18" s="698"/>
      <c r="E18" s="698"/>
      <c r="F18" s="698"/>
      <c r="G18" s="698"/>
      <c r="H18" s="698"/>
      <c r="I18" s="698"/>
      <c r="J18" s="698"/>
      <c r="K18" s="698"/>
      <c r="L18" s="698"/>
      <c r="M18" s="698"/>
      <c r="N18" s="698"/>
      <c r="O18" s="699"/>
      <c r="P18" s="700">
        <f t="shared" si="0"/>
        <v>0</v>
      </c>
      <c r="Q18" s="701" t="e">
        <f t="shared" si="1"/>
        <v>#DIV/0!</v>
      </c>
      <c r="R18" s="702"/>
      <c r="S18" s="698"/>
      <c r="T18" s="698"/>
      <c r="U18" s="699"/>
      <c r="V18" s="703"/>
      <c r="W18" s="699"/>
      <c r="X18" s="703"/>
      <c r="Y18" s="698"/>
      <c r="Z18" s="698"/>
      <c r="AA18" s="698"/>
      <c r="AB18" s="698"/>
      <c r="AC18" s="698"/>
      <c r="AD18" s="698"/>
      <c r="AE18" s="699"/>
      <c r="AF18" s="704">
        <f t="shared" si="2"/>
        <v>0</v>
      </c>
      <c r="AG18" s="702"/>
      <c r="AH18" s="698"/>
      <c r="AI18" s="698"/>
      <c r="AJ18" s="698"/>
      <c r="AK18" s="705"/>
      <c r="AL18" s="702">
        <f t="shared" si="3"/>
        <v>0</v>
      </c>
      <c r="AM18" s="700"/>
      <c r="AN18" s="699"/>
      <c r="AO18" s="706"/>
      <c r="AP18" s="707"/>
      <c r="AQ18" s="702"/>
      <c r="AR18" s="698"/>
      <c r="AS18" s="699"/>
      <c r="AT18" s="755"/>
      <c r="AU18" s="756"/>
      <c r="AV18" s="708">
        <f t="shared" si="4"/>
        <v>0</v>
      </c>
      <c r="AW18" s="709"/>
      <c r="AY18" s="421"/>
      <c r="AZ18" s="424"/>
      <c r="BA18" s="423"/>
      <c r="BB18" s="423"/>
      <c r="BC18" s="123"/>
      <c r="BD18" s="123"/>
    </row>
    <row r="19" spans="1:58" s="5" customFormat="1" ht="21" customHeight="1">
      <c r="A19" s="657" t="s">
        <v>234</v>
      </c>
      <c r="B19" s="713"/>
      <c r="C19" s="713"/>
      <c r="D19" s="713"/>
      <c r="E19" s="725"/>
      <c r="F19" s="725"/>
      <c r="G19" s="725"/>
      <c r="H19" s="725"/>
      <c r="I19" s="725"/>
      <c r="J19" s="725"/>
      <c r="K19" s="725"/>
      <c r="L19" s="725"/>
      <c r="M19" s="725"/>
      <c r="N19" s="725"/>
      <c r="O19" s="726"/>
      <c r="P19" s="715">
        <f t="shared" si="0"/>
        <v>0</v>
      </c>
      <c r="Q19" s="716" t="e">
        <f t="shared" si="1"/>
        <v>#DIV/0!</v>
      </c>
      <c r="R19" s="727"/>
      <c r="S19" s="713"/>
      <c r="T19" s="713"/>
      <c r="U19" s="714"/>
      <c r="V19" s="718"/>
      <c r="W19" s="714"/>
      <c r="X19" s="718"/>
      <c r="Y19" s="713"/>
      <c r="Z19" s="713"/>
      <c r="AA19" s="713"/>
      <c r="AB19" s="713"/>
      <c r="AC19" s="713"/>
      <c r="AD19" s="713"/>
      <c r="AE19" s="714"/>
      <c r="AF19" s="719">
        <f t="shared" si="2"/>
        <v>0</v>
      </c>
      <c r="AG19" s="717"/>
      <c r="AH19" s="713"/>
      <c r="AI19" s="713"/>
      <c r="AJ19" s="713"/>
      <c r="AK19" s="720"/>
      <c r="AL19" s="717">
        <f t="shared" si="3"/>
        <v>0</v>
      </c>
      <c r="AM19" s="715"/>
      <c r="AN19" s="714"/>
      <c r="AO19" s="721"/>
      <c r="AP19" s="722"/>
      <c r="AQ19" s="717"/>
      <c r="AR19" s="713"/>
      <c r="AS19" s="714"/>
      <c r="AT19" s="835"/>
      <c r="AU19" s="836"/>
      <c r="AV19" s="723">
        <f t="shared" si="4"/>
        <v>0</v>
      </c>
      <c r="AW19" s="724"/>
      <c r="AY19" s="421"/>
      <c r="AZ19" s="424"/>
      <c r="BA19" s="421"/>
      <c r="BB19" s="421"/>
    </row>
    <row r="20" spans="1:58" s="4" customFormat="1" ht="21" customHeight="1" thickBot="1">
      <c r="A20" s="673" t="s">
        <v>235</v>
      </c>
      <c r="B20" s="674"/>
      <c r="C20" s="674"/>
      <c r="D20" s="674"/>
      <c r="E20" s="674"/>
      <c r="F20" s="674"/>
      <c r="G20" s="674"/>
      <c r="H20" s="674"/>
      <c r="I20" s="674"/>
      <c r="J20" s="674"/>
      <c r="K20" s="674"/>
      <c r="L20" s="674"/>
      <c r="M20" s="674"/>
      <c r="N20" s="674"/>
      <c r="O20" s="675"/>
      <c r="P20" s="676">
        <f t="shared" si="0"/>
        <v>0</v>
      </c>
      <c r="Q20" s="677" t="e">
        <f t="shared" si="1"/>
        <v>#DIV/0!</v>
      </c>
      <c r="R20" s="678"/>
      <c r="S20" s="674"/>
      <c r="T20" s="674"/>
      <c r="U20" s="675"/>
      <c r="V20" s="679"/>
      <c r="W20" s="675"/>
      <c r="X20" s="679"/>
      <c r="Y20" s="674"/>
      <c r="Z20" s="674"/>
      <c r="AA20" s="674"/>
      <c r="AB20" s="674"/>
      <c r="AC20" s="674"/>
      <c r="AD20" s="674"/>
      <c r="AE20" s="675"/>
      <c r="AF20" s="680">
        <f t="shared" si="2"/>
        <v>0</v>
      </c>
      <c r="AG20" s="678"/>
      <c r="AH20" s="674"/>
      <c r="AI20" s="674"/>
      <c r="AJ20" s="674"/>
      <c r="AK20" s="681"/>
      <c r="AL20" s="678">
        <f t="shared" si="3"/>
        <v>0</v>
      </c>
      <c r="AM20" s="676"/>
      <c r="AN20" s="675"/>
      <c r="AO20" s="682"/>
      <c r="AP20" s="683"/>
      <c r="AQ20" s="678"/>
      <c r="AR20" s="674"/>
      <c r="AS20" s="675"/>
      <c r="AT20" s="831"/>
      <c r="AU20" s="832"/>
      <c r="AV20" s="684">
        <f t="shared" si="4"/>
        <v>0</v>
      </c>
      <c r="AW20" s="685"/>
      <c r="AZ20" s="123"/>
      <c r="BA20" s="423"/>
      <c r="BB20" s="423"/>
    </row>
    <row r="21" spans="1:58" s="4" customFormat="1" ht="21" customHeight="1">
      <c r="A21" s="673" t="s">
        <v>236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7"/>
      <c r="P21" s="688">
        <f t="shared" si="0"/>
        <v>0</v>
      </c>
      <c r="Q21" s="689" t="e">
        <f t="shared" si="1"/>
        <v>#DIV/0!</v>
      </c>
      <c r="R21" s="690"/>
      <c r="S21" s="686"/>
      <c r="T21" s="686"/>
      <c r="U21" s="687"/>
      <c r="V21" s="691"/>
      <c r="W21" s="687"/>
      <c r="X21" s="691"/>
      <c r="Y21" s="686"/>
      <c r="Z21" s="686"/>
      <c r="AA21" s="686"/>
      <c r="AB21" s="686"/>
      <c r="AC21" s="686"/>
      <c r="AD21" s="686"/>
      <c r="AE21" s="687"/>
      <c r="AF21" s="692">
        <f t="shared" si="2"/>
        <v>0</v>
      </c>
      <c r="AG21" s="690"/>
      <c r="AH21" s="686"/>
      <c r="AI21" s="686"/>
      <c r="AJ21" s="686"/>
      <c r="AK21" s="728"/>
      <c r="AL21" s="690">
        <f t="shared" si="3"/>
        <v>0</v>
      </c>
      <c r="AM21" s="688"/>
      <c r="AN21" s="687"/>
      <c r="AO21" s="694"/>
      <c r="AP21" s="695"/>
      <c r="AQ21" s="690"/>
      <c r="AR21" s="686"/>
      <c r="AS21" s="687"/>
      <c r="AT21" s="761"/>
      <c r="AU21" s="762"/>
      <c r="AV21" s="696">
        <f t="shared" si="4"/>
        <v>0</v>
      </c>
      <c r="AW21" s="697"/>
      <c r="AY21" s="422"/>
      <c r="AZ21" s="421"/>
      <c r="BA21" s="423"/>
      <c r="BB21" s="423"/>
      <c r="BC21" s="123"/>
      <c r="BD21" s="123"/>
    </row>
    <row r="22" spans="1:58" s="6" customFormat="1" ht="21" customHeight="1">
      <c r="A22" s="673" t="s">
        <v>237</v>
      </c>
      <c r="B22" s="698"/>
      <c r="C22" s="698"/>
      <c r="D22" s="698"/>
      <c r="E22" s="729"/>
      <c r="F22" s="698"/>
      <c r="G22" s="698"/>
      <c r="H22" s="698"/>
      <c r="I22" s="698"/>
      <c r="J22" s="698"/>
      <c r="K22" s="698"/>
      <c r="L22" s="698"/>
      <c r="M22" s="698"/>
      <c r="N22" s="698"/>
      <c r="O22" s="699"/>
      <c r="P22" s="700">
        <f t="shared" si="0"/>
        <v>0</v>
      </c>
      <c r="Q22" s="701" t="e">
        <f t="shared" si="1"/>
        <v>#DIV/0!</v>
      </c>
      <c r="R22" s="702"/>
      <c r="S22" s="698"/>
      <c r="T22" s="698"/>
      <c r="U22" s="699"/>
      <c r="V22" s="703"/>
      <c r="W22" s="699"/>
      <c r="X22" s="703"/>
      <c r="Y22" s="698"/>
      <c r="Z22" s="698"/>
      <c r="AA22" s="698"/>
      <c r="AB22" s="698"/>
      <c r="AC22" s="698"/>
      <c r="AD22" s="698"/>
      <c r="AE22" s="699"/>
      <c r="AF22" s="704">
        <f t="shared" si="2"/>
        <v>0</v>
      </c>
      <c r="AG22" s="702"/>
      <c r="AH22" s="698"/>
      <c r="AI22" s="698"/>
      <c r="AJ22" s="698"/>
      <c r="AK22" s="705"/>
      <c r="AL22" s="702">
        <f t="shared" si="3"/>
        <v>0</v>
      </c>
      <c r="AM22" s="700"/>
      <c r="AN22" s="699"/>
      <c r="AO22" s="706"/>
      <c r="AP22" s="707"/>
      <c r="AQ22" s="702"/>
      <c r="AR22" s="698"/>
      <c r="AS22" s="699"/>
      <c r="AT22" s="755"/>
      <c r="AU22" s="756"/>
      <c r="AV22" s="708">
        <f t="shared" si="4"/>
        <v>0</v>
      </c>
      <c r="AW22" s="709"/>
      <c r="AX22" s="4"/>
      <c r="AY22" s="13"/>
      <c r="AZ22" s="425"/>
      <c r="BA22" s="425"/>
      <c r="BB22" s="425"/>
      <c r="BC22" s="123"/>
      <c r="BD22" s="123"/>
      <c r="BE22" s="4"/>
    </row>
    <row r="23" spans="1:58" s="123" customFormat="1" ht="21" customHeight="1">
      <c r="A23" s="673" t="s">
        <v>238</v>
      </c>
      <c r="B23" s="698"/>
      <c r="C23" s="698"/>
      <c r="D23" s="698"/>
      <c r="E23" s="698"/>
      <c r="F23" s="698"/>
      <c r="G23" s="698"/>
      <c r="H23" s="698"/>
      <c r="I23" s="698"/>
      <c r="J23" s="698"/>
      <c r="K23" s="698"/>
      <c r="L23" s="698"/>
      <c r="M23" s="698"/>
      <c r="N23" s="698"/>
      <c r="O23" s="699"/>
      <c r="P23" s="700">
        <f t="shared" si="0"/>
        <v>0</v>
      </c>
      <c r="Q23" s="701" t="e">
        <f t="shared" si="1"/>
        <v>#DIV/0!</v>
      </c>
      <c r="R23" s="702"/>
      <c r="S23" s="698"/>
      <c r="T23" s="698"/>
      <c r="U23" s="699"/>
      <c r="V23" s="703"/>
      <c r="W23" s="699"/>
      <c r="X23" s="703"/>
      <c r="Y23" s="698"/>
      <c r="Z23" s="698"/>
      <c r="AA23" s="698"/>
      <c r="AB23" s="698"/>
      <c r="AC23" s="698"/>
      <c r="AD23" s="698"/>
      <c r="AE23" s="699"/>
      <c r="AF23" s="704">
        <f t="shared" si="2"/>
        <v>0</v>
      </c>
      <c r="AG23" s="702"/>
      <c r="AH23" s="698"/>
      <c r="AI23" s="698"/>
      <c r="AJ23" s="698"/>
      <c r="AK23" s="705"/>
      <c r="AL23" s="702">
        <f t="shared" si="3"/>
        <v>0</v>
      </c>
      <c r="AM23" s="700"/>
      <c r="AN23" s="699"/>
      <c r="AO23" s="706"/>
      <c r="AP23" s="707"/>
      <c r="AQ23" s="702"/>
      <c r="AR23" s="698"/>
      <c r="AS23" s="699"/>
      <c r="AT23" s="755"/>
      <c r="AU23" s="756"/>
      <c r="AV23" s="708">
        <f t="shared" si="4"/>
        <v>0</v>
      </c>
      <c r="AW23" s="709"/>
      <c r="AY23" s="13"/>
      <c r="AZ23" s="421"/>
      <c r="BA23" s="424"/>
      <c r="BB23" s="424"/>
      <c r="BE23" s="4"/>
    </row>
    <row r="24" spans="1:58" s="5" customFormat="1" ht="21" customHeight="1">
      <c r="A24" s="673" t="s">
        <v>239</v>
      </c>
      <c r="B24" s="698"/>
      <c r="C24" s="698"/>
      <c r="D24" s="698"/>
      <c r="E24" s="698"/>
      <c r="F24" s="698"/>
      <c r="G24" s="698"/>
      <c r="H24" s="698"/>
      <c r="I24" s="698"/>
      <c r="J24" s="698"/>
      <c r="K24" s="698"/>
      <c r="L24" s="698"/>
      <c r="M24" s="698"/>
      <c r="N24" s="698"/>
      <c r="O24" s="699"/>
      <c r="P24" s="700">
        <f t="shared" si="0"/>
        <v>0</v>
      </c>
      <c r="Q24" s="701" t="e">
        <f t="shared" si="1"/>
        <v>#DIV/0!</v>
      </c>
      <c r="R24" s="702"/>
      <c r="S24" s="698"/>
      <c r="T24" s="698"/>
      <c r="U24" s="699"/>
      <c r="V24" s="703"/>
      <c r="W24" s="699"/>
      <c r="X24" s="703"/>
      <c r="Y24" s="698"/>
      <c r="Z24" s="698"/>
      <c r="AA24" s="698"/>
      <c r="AB24" s="698"/>
      <c r="AC24" s="698"/>
      <c r="AD24" s="698"/>
      <c r="AE24" s="699"/>
      <c r="AF24" s="704">
        <f t="shared" si="2"/>
        <v>0</v>
      </c>
      <c r="AG24" s="702"/>
      <c r="AH24" s="698"/>
      <c r="AI24" s="698"/>
      <c r="AJ24" s="698"/>
      <c r="AK24" s="705"/>
      <c r="AL24" s="702">
        <f t="shared" si="3"/>
        <v>0</v>
      </c>
      <c r="AM24" s="700"/>
      <c r="AN24" s="699"/>
      <c r="AO24" s="706"/>
      <c r="AP24" s="707"/>
      <c r="AQ24" s="702"/>
      <c r="AR24" s="698"/>
      <c r="AS24" s="699"/>
      <c r="AT24" s="755"/>
      <c r="AU24" s="756"/>
      <c r="AV24" s="708">
        <f t="shared" si="4"/>
        <v>0</v>
      </c>
      <c r="AW24" s="709"/>
      <c r="AY24" s="422"/>
      <c r="AZ24" s="420"/>
      <c r="BA24" s="426"/>
      <c r="BB24" s="421"/>
      <c r="BD24" s="123"/>
    </row>
    <row r="25" spans="1:58" s="4" customFormat="1" ht="21" customHeight="1">
      <c r="A25" s="656" t="s">
        <v>240</v>
      </c>
      <c r="B25" s="698"/>
      <c r="C25" s="698"/>
      <c r="D25" s="698"/>
      <c r="E25" s="698"/>
      <c r="F25" s="698"/>
      <c r="G25" s="698">
        <v>2</v>
      </c>
      <c r="H25" s="698"/>
      <c r="I25" s="698"/>
      <c r="J25" s="698"/>
      <c r="K25" s="698"/>
      <c r="L25" s="698"/>
      <c r="M25" s="698"/>
      <c r="N25" s="698"/>
      <c r="O25" s="699"/>
      <c r="P25" s="700">
        <f t="shared" si="0"/>
        <v>2</v>
      </c>
      <c r="Q25" s="701">
        <f t="shared" si="1"/>
        <v>1</v>
      </c>
      <c r="R25" s="702"/>
      <c r="S25" s="698"/>
      <c r="T25" s="698"/>
      <c r="U25" s="699"/>
      <c r="V25" s="703"/>
      <c r="W25" s="699"/>
      <c r="X25" s="703"/>
      <c r="Y25" s="698"/>
      <c r="Z25" s="698"/>
      <c r="AA25" s="698"/>
      <c r="AB25" s="698"/>
      <c r="AC25" s="698"/>
      <c r="AD25" s="698"/>
      <c r="AE25" s="699"/>
      <c r="AF25" s="704">
        <f t="shared" si="2"/>
        <v>0</v>
      </c>
      <c r="AG25" s="702"/>
      <c r="AH25" s="698"/>
      <c r="AI25" s="698"/>
      <c r="AJ25" s="698"/>
      <c r="AK25" s="705"/>
      <c r="AL25" s="702">
        <f t="shared" si="3"/>
        <v>0</v>
      </c>
      <c r="AM25" s="700"/>
      <c r="AN25" s="699"/>
      <c r="AO25" s="706"/>
      <c r="AP25" s="707"/>
      <c r="AQ25" s="702"/>
      <c r="AR25" s="698"/>
      <c r="AS25" s="699"/>
      <c r="AT25" s="755"/>
      <c r="AU25" s="756"/>
      <c r="AV25" s="708">
        <f t="shared" si="4"/>
        <v>2</v>
      </c>
      <c r="AW25" s="709"/>
      <c r="AY25" s="13"/>
      <c r="AZ25" s="13"/>
      <c r="BA25" s="427"/>
      <c r="BB25" s="423"/>
      <c r="BD25" s="123"/>
    </row>
    <row r="26" spans="1:58" s="5" customFormat="1" ht="21" customHeight="1">
      <c r="A26" s="657" t="s">
        <v>241</v>
      </c>
      <c r="B26" s="713"/>
      <c r="C26" s="713"/>
      <c r="D26" s="713"/>
      <c r="E26" s="713"/>
      <c r="F26" s="713"/>
      <c r="G26" s="713"/>
      <c r="H26" s="713"/>
      <c r="I26" s="713"/>
      <c r="J26" s="713"/>
      <c r="K26" s="713"/>
      <c r="L26" s="713"/>
      <c r="M26" s="713"/>
      <c r="N26" s="713"/>
      <c r="O26" s="714"/>
      <c r="P26" s="715">
        <f t="shared" si="0"/>
        <v>0</v>
      </c>
      <c r="Q26" s="716" t="e">
        <f t="shared" si="1"/>
        <v>#DIV/0!</v>
      </c>
      <c r="R26" s="717"/>
      <c r="S26" s="713"/>
      <c r="T26" s="713"/>
      <c r="U26" s="714"/>
      <c r="V26" s="718"/>
      <c r="W26" s="714"/>
      <c r="X26" s="718"/>
      <c r="Y26" s="713"/>
      <c r="Z26" s="713"/>
      <c r="AA26" s="713"/>
      <c r="AB26" s="713"/>
      <c r="AC26" s="713"/>
      <c r="AD26" s="713"/>
      <c r="AE26" s="714"/>
      <c r="AF26" s="719">
        <f t="shared" si="2"/>
        <v>0</v>
      </c>
      <c r="AG26" s="717"/>
      <c r="AH26" s="713"/>
      <c r="AI26" s="713"/>
      <c r="AJ26" s="713"/>
      <c r="AK26" s="720"/>
      <c r="AL26" s="717">
        <f t="shared" si="3"/>
        <v>0</v>
      </c>
      <c r="AM26" s="715"/>
      <c r="AN26" s="714"/>
      <c r="AO26" s="721"/>
      <c r="AP26" s="722"/>
      <c r="AQ26" s="717"/>
      <c r="AR26" s="713"/>
      <c r="AS26" s="714"/>
      <c r="AT26" s="835"/>
      <c r="AU26" s="836"/>
      <c r="AV26" s="723">
        <f t="shared" si="4"/>
        <v>0</v>
      </c>
      <c r="AW26" s="724"/>
      <c r="AY26" s="13"/>
      <c r="AZ26" s="421"/>
      <c r="BA26" s="428"/>
      <c r="BB26" s="429"/>
      <c r="BC26" s="430"/>
      <c r="BE26" s="430"/>
    </row>
    <row r="27" spans="1:58" s="4" customFormat="1" ht="21" customHeight="1" thickBot="1">
      <c r="A27" s="673" t="s">
        <v>242</v>
      </c>
      <c r="B27" s="674"/>
      <c r="C27" s="674"/>
      <c r="D27" s="674"/>
      <c r="E27" s="674"/>
      <c r="F27" s="674"/>
      <c r="G27" s="674"/>
      <c r="H27" s="674">
        <v>2</v>
      </c>
      <c r="I27" s="674"/>
      <c r="J27" s="674"/>
      <c r="K27" s="674"/>
      <c r="L27" s="674"/>
      <c r="M27" s="674"/>
      <c r="N27" s="674"/>
      <c r="O27" s="675"/>
      <c r="P27" s="676">
        <f t="shared" si="0"/>
        <v>2</v>
      </c>
      <c r="Q27" s="677">
        <f t="shared" si="1"/>
        <v>1</v>
      </c>
      <c r="R27" s="678"/>
      <c r="S27" s="674"/>
      <c r="T27" s="674"/>
      <c r="U27" s="675"/>
      <c r="V27" s="679"/>
      <c r="W27" s="675"/>
      <c r="X27" s="679"/>
      <c r="Y27" s="674"/>
      <c r="Z27" s="674"/>
      <c r="AA27" s="674"/>
      <c r="AB27" s="674"/>
      <c r="AC27" s="674"/>
      <c r="AD27" s="674"/>
      <c r="AE27" s="675"/>
      <c r="AF27" s="680">
        <f t="shared" si="2"/>
        <v>0</v>
      </c>
      <c r="AG27" s="678"/>
      <c r="AH27" s="674"/>
      <c r="AI27" s="674"/>
      <c r="AJ27" s="674"/>
      <c r="AK27" s="681"/>
      <c r="AL27" s="678">
        <f t="shared" si="3"/>
        <v>0</v>
      </c>
      <c r="AM27" s="676"/>
      <c r="AN27" s="675"/>
      <c r="AO27" s="682"/>
      <c r="AP27" s="683"/>
      <c r="AQ27" s="678"/>
      <c r="AR27" s="674"/>
      <c r="AS27" s="675"/>
      <c r="AT27" s="831"/>
      <c r="AU27" s="832"/>
      <c r="AV27" s="684">
        <f t="shared" si="4"/>
        <v>2</v>
      </c>
      <c r="AW27" s="685"/>
      <c r="AY27" s="422"/>
      <c r="AZ27" s="422"/>
      <c r="BA27" s="427"/>
      <c r="BB27" s="431"/>
      <c r="BC27" s="432"/>
      <c r="BE27" s="432"/>
      <c r="BF27" s="433"/>
    </row>
    <row r="28" spans="1:58" s="4" customFormat="1" ht="21" customHeight="1">
      <c r="A28" s="673" t="s">
        <v>243</v>
      </c>
      <c r="B28" s="686"/>
      <c r="C28" s="686"/>
      <c r="D28" s="686"/>
      <c r="E28" s="686"/>
      <c r="F28" s="686"/>
      <c r="G28" s="686"/>
      <c r="H28" s="686"/>
      <c r="I28" s="686"/>
      <c r="J28" s="686"/>
      <c r="K28" s="686"/>
      <c r="L28" s="686"/>
      <c r="M28" s="686"/>
      <c r="N28" s="686"/>
      <c r="O28" s="687"/>
      <c r="P28" s="688">
        <f t="shared" si="0"/>
        <v>0</v>
      </c>
      <c r="Q28" s="701" t="e">
        <f t="shared" si="1"/>
        <v>#DIV/0!</v>
      </c>
      <c r="R28" s="690"/>
      <c r="S28" s="686"/>
      <c r="T28" s="686"/>
      <c r="U28" s="687"/>
      <c r="V28" s="691"/>
      <c r="W28" s="687"/>
      <c r="X28" s="691"/>
      <c r="Y28" s="686"/>
      <c r="Z28" s="686"/>
      <c r="AA28" s="686"/>
      <c r="AB28" s="686"/>
      <c r="AC28" s="686"/>
      <c r="AD28" s="686"/>
      <c r="AE28" s="687"/>
      <c r="AF28" s="692">
        <f t="shared" si="2"/>
        <v>0</v>
      </c>
      <c r="AG28" s="690"/>
      <c r="AH28" s="686"/>
      <c r="AI28" s="686"/>
      <c r="AJ28" s="686"/>
      <c r="AK28" s="693"/>
      <c r="AL28" s="690">
        <f t="shared" si="3"/>
        <v>0</v>
      </c>
      <c r="AM28" s="688"/>
      <c r="AN28" s="687"/>
      <c r="AO28" s="694"/>
      <c r="AP28" s="695"/>
      <c r="AQ28" s="690"/>
      <c r="AR28" s="686"/>
      <c r="AS28" s="687"/>
      <c r="AT28" s="761"/>
      <c r="AU28" s="762"/>
      <c r="AV28" s="696">
        <f t="shared" si="4"/>
        <v>0</v>
      </c>
      <c r="AW28" s="697"/>
      <c r="AY28" s="420"/>
      <c r="AZ28" s="420"/>
      <c r="BA28" s="434"/>
      <c r="BB28" s="431"/>
      <c r="BC28" s="432"/>
      <c r="BD28" s="123"/>
      <c r="BE28" s="432"/>
      <c r="BF28" s="433"/>
    </row>
    <row r="29" spans="1:58" s="6" customFormat="1" ht="21" customHeight="1">
      <c r="A29" s="673" t="s">
        <v>244</v>
      </c>
      <c r="B29" s="698"/>
      <c r="C29" s="698"/>
      <c r="D29" s="698"/>
      <c r="E29" s="698"/>
      <c r="F29" s="698"/>
      <c r="G29" s="698"/>
      <c r="H29" s="698">
        <v>2</v>
      </c>
      <c r="I29" s="698"/>
      <c r="J29" s="698"/>
      <c r="K29" s="698"/>
      <c r="L29" s="698"/>
      <c r="M29" s="698"/>
      <c r="N29" s="698"/>
      <c r="O29" s="699"/>
      <c r="P29" s="700">
        <f t="shared" si="0"/>
        <v>2</v>
      </c>
      <c r="Q29" s="701">
        <f t="shared" si="1"/>
        <v>1</v>
      </c>
      <c r="R29" s="702"/>
      <c r="S29" s="698"/>
      <c r="T29" s="698"/>
      <c r="U29" s="699"/>
      <c r="V29" s="703"/>
      <c r="W29" s="699"/>
      <c r="X29" s="703"/>
      <c r="Y29" s="698"/>
      <c r="Z29" s="698"/>
      <c r="AA29" s="698"/>
      <c r="AB29" s="698"/>
      <c r="AC29" s="698"/>
      <c r="AD29" s="698"/>
      <c r="AE29" s="699"/>
      <c r="AF29" s="704">
        <f t="shared" si="2"/>
        <v>0</v>
      </c>
      <c r="AG29" s="702"/>
      <c r="AH29" s="698"/>
      <c r="AI29" s="698"/>
      <c r="AJ29" s="698"/>
      <c r="AK29" s="705"/>
      <c r="AL29" s="702">
        <f t="shared" si="3"/>
        <v>0</v>
      </c>
      <c r="AM29" s="700"/>
      <c r="AN29" s="699"/>
      <c r="AO29" s="706"/>
      <c r="AP29" s="707"/>
      <c r="AQ29" s="702"/>
      <c r="AR29" s="698"/>
      <c r="AS29" s="699"/>
      <c r="AT29" s="755"/>
      <c r="AU29" s="756"/>
      <c r="AV29" s="708">
        <f t="shared" si="4"/>
        <v>2</v>
      </c>
      <c r="AW29" s="709"/>
      <c r="AY29" s="13"/>
      <c r="AZ29" s="426"/>
      <c r="BA29" s="435"/>
      <c r="BB29" s="436"/>
      <c r="BC29" s="437"/>
      <c r="BD29" s="123"/>
      <c r="BE29" s="437"/>
      <c r="BF29" s="438"/>
    </row>
    <row r="30" spans="1:58" s="123" customFormat="1" ht="21" customHeight="1">
      <c r="A30" s="673" t="s">
        <v>245</v>
      </c>
      <c r="B30" s="698"/>
      <c r="C30" s="698"/>
      <c r="D30" s="698"/>
      <c r="E30" s="698"/>
      <c r="F30" s="698"/>
      <c r="G30" s="698"/>
      <c r="H30" s="698"/>
      <c r="I30" s="698"/>
      <c r="J30" s="698"/>
      <c r="K30" s="698"/>
      <c r="L30" s="698">
        <v>2</v>
      </c>
      <c r="M30" s="698"/>
      <c r="N30" s="698"/>
      <c r="O30" s="699"/>
      <c r="P30" s="700">
        <f t="shared" ref="P30:P35" si="5">SUM(B30:O30)</f>
        <v>2</v>
      </c>
      <c r="Q30" s="701">
        <f t="shared" si="1"/>
        <v>1</v>
      </c>
      <c r="R30" s="702"/>
      <c r="S30" s="698"/>
      <c r="T30" s="698"/>
      <c r="U30" s="699"/>
      <c r="V30" s="703"/>
      <c r="W30" s="699"/>
      <c r="X30" s="703"/>
      <c r="Y30" s="698"/>
      <c r="Z30" s="698"/>
      <c r="AA30" s="698"/>
      <c r="AB30" s="698"/>
      <c r="AC30" s="698"/>
      <c r="AD30" s="698"/>
      <c r="AE30" s="699"/>
      <c r="AF30" s="704">
        <f t="shared" si="2"/>
        <v>0</v>
      </c>
      <c r="AG30" s="702"/>
      <c r="AH30" s="698"/>
      <c r="AI30" s="698"/>
      <c r="AJ30" s="698"/>
      <c r="AK30" s="705"/>
      <c r="AL30" s="702">
        <f t="shared" si="3"/>
        <v>0</v>
      </c>
      <c r="AM30" s="700"/>
      <c r="AN30" s="699"/>
      <c r="AO30" s="706"/>
      <c r="AP30" s="707"/>
      <c r="AQ30" s="702"/>
      <c r="AR30" s="698"/>
      <c r="AS30" s="699"/>
      <c r="AT30" s="755"/>
      <c r="AU30" s="756"/>
      <c r="AV30" s="708">
        <f t="shared" si="4"/>
        <v>2</v>
      </c>
      <c r="AW30" s="730"/>
      <c r="AY30" s="420"/>
      <c r="AZ30" s="421"/>
      <c r="BA30" s="424"/>
      <c r="BB30" s="424"/>
    </row>
    <row r="31" spans="1:58" s="5" customFormat="1" ht="21" customHeight="1">
      <c r="A31" s="673" t="s">
        <v>246</v>
      </c>
      <c r="B31" s="698"/>
      <c r="C31" s="698"/>
      <c r="D31" s="698"/>
      <c r="E31" s="698"/>
      <c r="F31" s="698"/>
      <c r="G31" s="698"/>
      <c r="H31" s="698"/>
      <c r="I31" s="698"/>
      <c r="J31" s="698"/>
      <c r="K31" s="698"/>
      <c r="L31" s="698"/>
      <c r="M31" s="698"/>
      <c r="N31" s="698"/>
      <c r="O31" s="699"/>
      <c r="P31" s="700">
        <f t="shared" si="5"/>
        <v>0</v>
      </c>
      <c r="Q31" s="701" t="e">
        <f t="shared" si="1"/>
        <v>#DIV/0!</v>
      </c>
      <c r="R31" s="702"/>
      <c r="S31" s="698"/>
      <c r="T31" s="698"/>
      <c r="U31" s="699"/>
      <c r="V31" s="703"/>
      <c r="W31" s="699"/>
      <c r="X31" s="703"/>
      <c r="Y31" s="698"/>
      <c r="Z31" s="698"/>
      <c r="AA31" s="698"/>
      <c r="AB31" s="698"/>
      <c r="AC31" s="698"/>
      <c r="AD31" s="698"/>
      <c r="AE31" s="699"/>
      <c r="AF31" s="704">
        <f t="shared" si="2"/>
        <v>0</v>
      </c>
      <c r="AG31" s="702"/>
      <c r="AH31" s="698"/>
      <c r="AI31" s="698"/>
      <c r="AJ31" s="698"/>
      <c r="AK31" s="705"/>
      <c r="AL31" s="702">
        <f t="shared" si="3"/>
        <v>0</v>
      </c>
      <c r="AM31" s="700"/>
      <c r="AN31" s="699"/>
      <c r="AO31" s="706"/>
      <c r="AP31" s="707"/>
      <c r="AQ31" s="702"/>
      <c r="AR31" s="698"/>
      <c r="AS31" s="699"/>
      <c r="AT31" s="755"/>
      <c r="AU31" s="756"/>
      <c r="AV31" s="708">
        <f t="shared" si="4"/>
        <v>0</v>
      </c>
      <c r="AW31" s="731"/>
      <c r="AY31" s="422"/>
      <c r="BA31" s="426"/>
      <c r="BB31" s="426"/>
      <c r="BC31" s="345"/>
      <c r="BD31" s="123"/>
      <c r="BE31" s="345"/>
      <c r="BF31" s="345"/>
    </row>
    <row r="32" spans="1:58" s="4" customFormat="1" ht="21" customHeight="1">
      <c r="A32" s="656">
        <v>2</v>
      </c>
      <c r="B32" s="698"/>
      <c r="C32" s="698"/>
      <c r="D32" s="698"/>
      <c r="E32" s="698"/>
      <c r="F32" s="698"/>
      <c r="G32" s="698"/>
      <c r="H32" s="698"/>
      <c r="I32" s="698"/>
      <c r="J32" s="698"/>
      <c r="K32" s="698"/>
      <c r="L32" s="698"/>
      <c r="M32" s="698"/>
      <c r="N32" s="698"/>
      <c r="O32" s="699"/>
      <c r="P32" s="700">
        <f t="shared" si="5"/>
        <v>0</v>
      </c>
      <c r="Q32" s="701" t="e">
        <f t="shared" si="1"/>
        <v>#DIV/0!</v>
      </c>
      <c r="R32" s="702"/>
      <c r="S32" s="698"/>
      <c r="T32" s="698"/>
      <c r="U32" s="699"/>
      <c r="V32" s="703"/>
      <c r="W32" s="699"/>
      <c r="X32" s="703"/>
      <c r="Y32" s="698"/>
      <c r="Z32" s="698"/>
      <c r="AA32" s="698"/>
      <c r="AB32" s="698"/>
      <c r="AC32" s="698"/>
      <c r="AD32" s="698"/>
      <c r="AE32" s="699"/>
      <c r="AF32" s="704">
        <f t="shared" si="2"/>
        <v>0</v>
      </c>
      <c r="AG32" s="702"/>
      <c r="AH32" s="698"/>
      <c r="AI32" s="698"/>
      <c r="AJ32" s="698"/>
      <c r="AK32" s="705"/>
      <c r="AL32" s="702">
        <f t="shared" si="3"/>
        <v>0</v>
      </c>
      <c r="AM32" s="700"/>
      <c r="AN32" s="699"/>
      <c r="AO32" s="706"/>
      <c r="AP32" s="707"/>
      <c r="AQ32" s="702"/>
      <c r="AR32" s="698"/>
      <c r="AS32" s="699"/>
      <c r="AT32" s="755"/>
      <c r="AU32" s="756"/>
      <c r="AV32" s="708">
        <f t="shared" si="4"/>
        <v>0</v>
      </c>
      <c r="AW32" s="732"/>
      <c r="AY32" s="420"/>
      <c r="AZ32" s="422"/>
      <c r="BA32" s="423"/>
      <c r="BB32" s="423"/>
      <c r="BD32" s="123"/>
    </row>
    <row r="33" spans="1:58" s="5" customFormat="1" ht="21" customHeight="1">
      <c r="A33" s="657" t="s">
        <v>248</v>
      </c>
      <c r="B33" s="713"/>
      <c r="C33" s="713"/>
      <c r="D33" s="713"/>
      <c r="E33" s="725"/>
      <c r="F33" s="725"/>
      <c r="G33" s="725"/>
      <c r="H33" s="725"/>
      <c r="I33" s="725"/>
      <c r="J33" s="725"/>
      <c r="K33" s="725"/>
      <c r="L33" s="725"/>
      <c r="M33" s="725"/>
      <c r="N33" s="725"/>
      <c r="O33" s="726"/>
      <c r="P33" s="715">
        <f t="shared" si="5"/>
        <v>0</v>
      </c>
      <c r="Q33" s="716" t="e">
        <f t="shared" si="1"/>
        <v>#DIV/0!</v>
      </c>
      <c r="R33" s="727"/>
      <c r="S33" s="713"/>
      <c r="T33" s="713"/>
      <c r="U33" s="714"/>
      <c r="V33" s="718"/>
      <c r="W33" s="714"/>
      <c r="X33" s="718"/>
      <c r="Y33" s="713"/>
      <c r="Z33" s="713"/>
      <c r="AA33" s="713"/>
      <c r="AB33" s="713"/>
      <c r="AC33" s="713"/>
      <c r="AD33" s="713"/>
      <c r="AE33" s="714"/>
      <c r="AF33" s="719">
        <f t="shared" si="2"/>
        <v>0</v>
      </c>
      <c r="AG33" s="717"/>
      <c r="AH33" s="713"/>
      <c r="AI33" s="713"/>
      <c r="AJ33" s="713"/>
      <c r="AK33" s="720"/>
      <c r="AL33" s="717">
        <f t="shared" si="3"/>
        <v>0</v>
      </c>
      <c r="AM33" s="715"/>
      <c r="AN33" s="714"/>
      <c r="AO33" s="721"/>
      <c r="AP33" s="722"/>
      <c r="AQ33" s="717"/>
      <c r="AR33" s="713"/>
      <c r="AS33" s="714"/>
      <c r="AT33" s="835"/>
      <c r="AU33" s="836"/>
      <c r="AV33" s="723">
        <f t="shared" si="4"/>
        <v>0</v>
      </c>
      <c r="AW33" s="724"/>
      <c r="AY33" s="420"/>
      <c r="AZ33" s="420"/>
      <c r="BA33" s="421"/>
      <c r="BB33" s="421"/>
    </row>
    <row r="34" spans="1:58" s="4" customFormat="1" ht="21" customHeight="1" thickBot="1">
      <c r="A34" s="673" t="s">
        <v>249</v>
      </c>
      <c r="B34" s="674"/>
      <c r="C34" s="674"/>
      <c r="D34" s="674"/>
      <c r="E34" s="674"/>
      <c r="F34" s="674"/>
      <c r="G34" s="674"/>
      <c r="H34" s="674"/>
      <c r="I34" s="674"/>
      <c r="J34" s="674"/>
      <c r="K34" s="674"/>
      <c r="L34" s="674"/>
      <c r="M34" s="674"/>
      <c r="N34" s="674"/>
      <c r="O34" s="675"/>
      <c r="P34" s="676">
        <f t="shared" si="5"/>
        <v>0</v>
      </c>
      <c r="Q34" s="677" t="e">
        <f t="shared" si="1"/>
        <v>#DIV/0!</v>
      </c>
      <c r="R34" s="678"/>
      <c r="S34" s="674"/>
      <c r="T34" s="674"/>
      <c r="U34" s="675"/>
      <c r="V34" s="679"/>
      <c r="W34" s="675"/>
      <c r="X34" s="679"/>
      <c r="Y34" s="674"/>
      <c r="Z34" s="674"/>
      <c r="AA34" s="674"/>
      <c r="AB34" s="674"/>
      <c r="AC34" s="674"/>
      <c r="AD34" s="674"/>
      <c r="AE34" s="675"/>
      <c r="AF34" s="680">
        <f t="shared" si="2"/>
        <v>0</v>
      </c>
      <c r="AG34" s="678"/>
      <c r="AH34" s="674"/>
      <c r="AI34" s="674"/>
      <c r="AJ34" s="674"/>
      <c r="AK34" s="681"/>
      <c r="AL34" s="678">
        <f t="shared" si="3"/>
        <v>0</v>
      </c>
      <c r="AM34" s="676"/>
      <c r="AN34" s="675"/>
      <c r="AO34" s="682"/>
      <c r="AP34" s="683"/>
      <c r="AQ34" s="678"/>
      <c r="AR34" s="674"/>
      <c r="AS34" s="675"/>
      <c r="AT34" s="831"/>
      <c r="AU34" s="832"/>
      <c r="AV34" s="684">
        <f t="shared" si="4"/>
        <v>0</v>
      </c>
      <c r="AW34" s="685"/>
      <c r="AX34" s="4" t="s">
        <v>197</v>
      </c>
      <c r="AY34" s="422"/>
      <c r="AZ34" s="422"/>
      <c r="BA34" s="423"/>
      <c r="BB34" s="423"/>
    </row>
    <row r="35" spans="1:58" s="4" customFormat="1" ht="21" customHeight="1" thickBot="1">
      <c r="A35" s="673" t="s">
        <v>250</v>
      </c>
      <c r="B35" s="733"/>
      <c r="C35" s="733"/>
      <c r="D35" s="733"/>
      <c r="E35" s="733"/>
      <c r="F35" s="733"/>
      <c r="G35" s="733"/>
      <c r="H35" s="733"/>
      <c r="I35" s="733"/>
      <c r="J35" s="733"/>
      <c r="K35" s="733"/>
      <c r="L35" s="733"/>
      <c r="M35" s="733"/>
      <c r="N35" s="733"/>
      <c r="O35" s="734"/>
      <c r="P35" s="735">
        <f t="shared" si="5"/>
        <v>0</v>
      </c>
      <c r="Q35" s="736" t="e">
        <f t="shared" si="1"/>
        <v>#DIV/0!</v>
      </c>
      <c r="R35" s="737"/>
      <c r="S35" s="733"/>
      <c r="T35" s="733"/>
      <c r="U35" s="734"/>
      <c r="V35" s="738"/>
      <c r="W35" s="734"/>
      <c r="X35" s="738"/>
      <c r="Y35" s="733"/>
      <c r="Z35" s="733"/>
      <c r="AA35" s="733"/>
      <c r="AB35" s="733"/>
      <c r="AC35" s="733"/>
      <c r="AD35" s="733"/>
      <c r="AE35" s="734"/>
      <c r="AF35" s="739">
        <f t="shared" si="2"/>
        <v>0</v>
      </c>
      <c r="AG35" s="737"/>
      <c r="AH35" s="733"/>
      <c r="AI35" s="733"/>
      <c r="AJ35" s="733"/>
      <c r="AK35" s="740"/>
      <c r="AL35" s="737">
        <f t="shared" si="3"/>
        <v>0</v>
      </c>
      <c r="AM35" s="735"/>
      <c r="AN35" s="734"/>
      <c r="AO35" s="741"/>
      <c r="AP35" s="742"/>
      <c r="AQ35" s="737"/>
      <c r="AR35" s="733"/>
      <c r="AS35" s="734"/>
      <c r="AT35" s="761"/>
      <c r="AU35" s="762"/>
      <c r="AV35" s="743">
        <f t="shared" si="4"/>
        <v>0</v>
      </c>
      <c r="AW35" s="744"/>
      <c r="AY35" s="422"/>
      <c r="AZ35" s="422"/>
      <c r="BA35" s="423"/>
      <c r="BB35" s="423"/>
      <c r="BD35" s="123"/>
    </row>
    <row r="36" spans="1:58" ht="21" customHeight="1" thickBot="1">
      <c r="A36" s="15" t="s">
        <v>1</v>
      </c>
      <c r="B36" s="61">
        <f t="shared" ref="B36:O36" si="6">SUM(B5:B35)</f>
        <v>0</v>
      </c>
      <c r="C36" s="60">
        <f t="shared" si="6"/>
        <v>0</v>
      </c>
      <c r="D36" s="61">
        <f t="shared" si="6"/>
        <v>0</v>
      </c>
      <c r="E36" s="61">
        <f t="shared" si="6"/>
        <v>0</v>
      </c>
      <c r="F36" s="61">
        <f t="shared" si="6"/>
        <v>0</v>
      </c>
      <c r="G36" s="61">
        <f t="shared" si="6"/>
        <v>2</v>
      </c>
      <c r="H36" s="61">
        <f t="shared" si="6"/>
        <v>4</v>
      </c>
      <c r="I36" s="61">
        <f t="shared" si="6"/>
        <v>0</v>
      </c>
      <c r="J36" s="61">
        <f t="shared" si="6"/>
        <v>0</v>
      </c>
      <c r="K36" s="61">
        <f t="shared" si="6"/>
        <v>0</v>
      </c>
      <c r="L36" s="61">
        <f t="shared" si="6"/>
        <v>2</v>
      </c>
      <c r="M36" s="61">
        <f t="shared" si="6"/>
        <v>0</v>
      </c>
      <c r="N36" s="61">
        <f t="shared" si="6"/>
        <v>0</v>
      </c>
      <c r="O36" s="263">
        <f t="shared" si="6"/>
        <v>0</v>
      </c>
      <c r="P36" s="257">
        <f>SUM(B36:O36)</f>
        <v>8</v>
      </c>
      <c r="Q36" s="16" t="e">
        <f>AVERAGE(Q5:Q35)</f>
        <v>#DIV/0!</v>
      </c>
      <c r="R36" s="55">
        <f t="shared" ref="R36:AE36" si="7">SUM(R5:R35)</f>
        <v>0</v>
      </c>
      <c r="S36" s="55">
        <f t="shared" si="7"/>
        <v>0</v>
      </c>
      <c r="T36" s="56">
        <f t="shared" si="7"/>
        <v>0</v>
      </c>
      <c r="U36" s="57">
        <f t="shared" si="7"/>
        <v>0</v>
      </c>
      <c r="V36" s="318">
        <f t="shared" si="7"/>
        <v>0</v>
      </c>
      <c r="W36" s="57">
        <f t="shared" si="7"/>
        <v>0</v>
      </c>
      <c r="X36" s="367">
        <f t="shared" si="7"/>
        <v>0</v>
      </c>
      <c r="Y36" s="57">
        <f t="shared" si="7"/>
        <v>0</v>
      </c>
      <c r="Z36" s="57">
        <f t="shared" si="7"/>
        <v>0</v>
      </c>
      <c r="AA36" s="57">
        <f t="shared" si="7"/>
        <v>0</v>
      </c>
      <c r="AB36" s="57">
        <f t="shared" si="7"/>
        <v>0</v>
      </c>
      <c r="AC36" s="57">
        <f t="shared" si="7"/>
        <v>0</v>
      </c>
      <c r="AD36" s="57">
        <f t="shared" si="7"/>
        <v>0</v>
      </c>
      <c r="AE36" s="57">
        <f t="shared" si="7"/>
        <v>0</v>
      </c>
      <c r="AF36" s="368">
        <f>SUM(R36:AE36)</f>
        <v>0</v>
      </c>
      <c r="AG36" s="55">
        <f t="shared" ref="AG36:AT36" si="8">SUM(AG5:AG35)</f>
        <v>0</v>
      </c>
      <c r="AH36" s="56">
        <f t="shared" si="8"/>
        <v>0</v>
      </c>
      <c r="AI36" s="56">
        <f t="shared" si="8"/>
        <v>0</v>
      </c>
      <c r="AJ36" s="56">
        <f t="shared" si="8"/>
        <v>0</v>
      </c>
      <c r="AK36" s="58">
        <f t="shared" si="8"/>
        <v>0</v>
      </c>
      <c r="AL36" s="59">
        <f>AG36+AK36+AH36</f>
        <v>0</v>
      </c>
      <c r="AM36" s="59">
        <f t="shared" si="8"/>
        <v>0</v>
      </c>
      <c r="AN36" s="57"/>
      <c r="AO36" s="369">
        <f t="shared" si="8"/>
        <v>0</v>
      </c>
      <c r="AP36" s="371">
        <f t="shared" si="8"/>
        <v>0</v>
      </c>
      <c r="AQ36" s="55">
        <f t="shared" si="8"/>
        <v>0</v>
      </c>
      <c r="AR36" s="56">
        <f t="shared" si="8"/>
        <v>0</v>
      </c>
      <c r="AS36" s="57">
        <f t="shared" si="8"/>
        <v>0</v>
      </c>
      <c r="AT36" s="770">
        <f t="shared" si="8"/>
        <v>0</v>
      </c>
      <c r="AU36" s="771"/>
      <c r="AV36" s="258">
        <f>SUM(AV5:AV35)</f>
        <v>8</v>
      </c>
      <c r="AW36" s="258">
        <f>SUM(AW5:AW35)</f>
        <v>0</v>
      </c>
      <c r="AY36" s="435"/>
      <c r="AZ36" s="435"/>
      <c r="BA36" s="435"/>
      <c r="BB36" s="435"/>
      <c r="BC36" s="437"/>
      <c r="BD36" s="123"/>
      <c r="BE36" s="437"/>
      <c r="BF36" s="438"/>
    </row>
    <row r="37" spans="1:58" ht="21" customHeight="1" thickTop="1" thickBot="1">
      <c r="A37" s="17" t="s">
        <v>108</v>
      </c>
      <c r="B37" s="18"/>
      <c r="C37" s="18"/>
      <c r="D37" s="18"/>
      <c r="E37" s="18"/>
      <c r="F37" s="18"/>
      <c r="G37" s="18"/>
      <c r="H37" s="18"/>
      <c r="I37" s="18"/>
      <c r="J37" s="19"/>
      <c r="K37" s="19"/>
      <c r="L37" s="19"/>
      <c r="M37" s="19">
        <v>0</v>
      </c>
      <c r="N37" s="19">
        <v>0</v>
      </c>
      <c r="O37" s="264">
        <v>0</v>
      </c>
      <c r="P37" s="21"/>
      <c r="Q37" s="48"/>
      <c r="R37" s="18">
        <v>0</v>
      </c>
      <c r="S37" s="18">
        <v>0</v>
      </c>
      <c r="T37" s="18">
        <v>0</v>
      </c>
      <c r="U37" s="22">
        <v>0</v>
      </c>
      <c r="V37" s="319">
        <v>0</v>
      </c>
      <c r="W37" s="22">
        <v>0</v>
      </c>
      <c r="X37" s="319"/>
      <c r="Y37" s="18"/>
      <c r="Z37" s="18"/>
      <c r="AA37" s="18"/>
      <c r="AB37" s="18"/>
      <c r="AC37" s="18"/>
      <c r="AD37" s="18"/>
      <c r="AE37" s="22"/>
      <c r="AF37" s="353"/>
      <c r="AG37" s="18"/>
      <c r="AH37" s="19"/>
      <c r="AI37" s="19"/>
      <c r="AJ37" s="19"/>
      <c r="AK37" s="20"/>
      <c r="AL37" s="21"/>
      <c r="AM37" s="21">
        <v>0</v>
      </c>
      <c r="AN37" s="264"/>
      <c r="AO37" s="327"/>
      <c r="AP37" s="351"/>
      <c r="AQ37" s="18"/>
      <c r="AR37" s="19"/>
      <c r="AS37" s="20"/>
      <c r="AT37" s="22"/>
      <c r="AU37" s="772" t="s">
        <v>39</v>
      </c>
      <c r="AV37" s="775" t="e">
        <f>AV36/'2026년 폐수반입현황'!AY5</f>
        <v>#DIV/0!</v>
      </c>
      <c r="AW37" s="778" t="e">
        <f>AW36/'2026년 폐수반입현황'!AV5</f>
        <v>#DIV/0!</v>
      </c>
      <c r="AY37" s="303"/>
      <c r="AZ37" s="303"/>
      <c r="BA37" s="303"/>
      <c r="BB37" s="301"/>
      <c r="BC37" s="302"/>
      <c r="BD37" s="123"/>
      <c r="BE37" s="302"/>
      <c r="BF37" s="300"/>
    </row>
    <row r="38" spans="1:58" ht="21" customHeight="1" thickBot="1">
      <c r="A38" s="23" t="s">
        <v>46</v>
      </c>
      <c r="B38" s="49">
        <f t="shared" ref="B38:AS38" si="9">B36-B37</f>
        <v>0</v>
      </c>
      <c r="C38" s="49">
        <f>C36-C37</f>
        <v>0</v>
      </c>
      <c r="D38" s="49">
        <f t="shared" si="9"/>
        <v>0</v>
      </c>
      <c r="E38" s="49">
        <f t="shared" si="9"/>
        <v>0</v>
      </c>
      <c r="F38" s="49">
        <f t="shared" si="9"/>
        <v>0</v>
      </c>
      <c r="G38" s="49">
        <f t="shared" si="9"/>
        <v>2</v>
      </c>
      <c r="H38" s="49">
        <f t="shared" si="9"/>
        <v>4</v>
      </c>
      <c r="I38" s="49">
        <f t="shared" si="9"/>
        <v>0</v>
      </c>
      <c r="J38" s="50">
        <f t="shared" si="9"/>
        <v>0</v>
      </c>
      <c r="K38" s="50">
        <f t="shared" si="9"/>
        <v>0</v>
      </c>
      <c r="L38" s="50">
        <f t="shared" si="9"/>
        <v>2</v>
      </c>
      <c r="M38" s="50">
        <f t="shared" si="9"/>
        <v>0</v>
      </c>
      <c r="N38" s="50">
        <f t="shared" si="9"/>
        <v>0</v>
      </c>
      <c r="O38" s="265">
        <f t="shared" si="9"/>
        <v>0</v>
      </c>
      <c r="P38" s="52">
        <f t="shared" si="9"/>
        <v>8</v>
      </c>
      <c r="Q38" s="53" t="e">
        <f t="shared" si="9"/>
        <v>#DIV/0!</v>
      </c>
      <c r="R38" s="49">
        <f t="shared" si="9"/>
        <v>0</v>
      </c>
      <c r="S38" s="49">
        <f t="shared" si="9"/>
        <v>0</v>
      </c>
      <c r="T38" s="49">
        <f t="shared" si="9"/>
        <v>0</v>
      </c>
      <c r="U38" s="54">
        <f t="shared" si="9"/>
        <v>0</v>
      </c>
      <c r="V38" s="320">
        <f t="shared" si="9"/>
        <v>0</v>
      </c>
      <c r="W38" s="54">
        <f t="shared" si="9"/>
        <v>0</v>
      </c>
      <c r="X38" s="320">
        <f t="shared" si="9"/>
        <v>0</v>
      </c>
      <c r="Y38" s="49">
        <f t="shared" si="9"/>
        <v>0</v>
      </c>
      <c r="Z38" s="49">
        <f t="shared" si="9"/>
        <v>0</v>
      </c>
      <c r="AA38" s="49">
        <f t="shared" si="9"/>
        <v>0</v>
      </c>
      <c r="AB38" s="49">
        <f t="shared" si="9"/>
        <v>0</v>
      </c>
      <c r="AC38" s="49">
        <f t="shared" si="9"/>
        <v>0</v>
      </c>
      <c r="AD38" s="49">
        <f t="shared" si="9"/>
        <v>0</v>
      </c>
      <c r="AE38" s="54">
        <f t="shared" si="9"/>
        <v>0</v>
      </c>
      <c r="AF38" s="354">
        <f t="shared" si="9"/>
        <v>0</v>
      </c>
      <c r="AG38" s="49">
        <f t="shared" si="9"/>
        <v>0</v>
      </c>
      <c r="AH38" s="50">
        <f t="shared" si="9"/>
        <v>0</v>
      </c>
      <c r="AI38" s="50">
        <f t="shared" si="9"/>
        <v>0</v>
      </c>
      <c r="AJ38" s="50">
        <f t="shared" si="9"/>
        <v>0</v>
      </c>
      <c r="AK38" s="51">
        <f t="shared" si="9"/>
        <v>0</v>
      </c>
      <c r="AL38" s="52">
        <f>AG38+AK38+AT38</f>
        <v>0</v>
      </c>
      <c r="AM38" s="52">
        <f t="shared" si="9"/>
        <v>0</v>
      </c>
      <c r="AN38" s="265"/>
      <c r="AO38" s="328">
        <v>64.69</v>
      </c>
      <c r="AP38" s="352">
        <f t="shared" si="9"/>
        <v>0</v>
      </c>
      <c r="AQ38" s="49">
        <f t="shared" si="9"/>
        <v>0</v>
      </c>
      <c r="AR38" s="50">
        <f t="shared" si="9"/>
        <v>0</v>
      </c>
      <c r="AS38" s="51">
        <f t="shared" si="9"/>
        <v>0</v>
      </c>
      <c r="AT38" s="306">
        <f>AT36-AT37</f>
        <v>0</v>
      </c>
      <c r="AU38" s="773"/>
      <c r="AV38" s="776"/>
      <c r="AW38" s="779"/>
      <c r="BD38" s="123"/>
    </row>
    <row r="39" spans="1:58" ht="21" customHeight="1" thickBot="1">
      <c r="A39" s="276" t="s">
        <v>189</v>
      </c>
      <c r="B39" s="307"/>
      <c r="C39" s="278"/>
      <c r="D39" s="278"/>
      <c r="E39" s="278"/>
      <c r="F39" s="372"/>
      <c r="G39" s="278"/>
      <c r="H39" s="278"/>
      <c r="I39" s="372"/>
      <c r="J39" s="278"/>
      <c r="K39" s="372"/>
      <c r="L39" s="280"/>
      <c r="M39" s="277">
        <v>0</v>
      </c>
      <c r="N39" s="277">
        <v>0</v>
      </c>
      <c r="O39" s="277">
        <v>0</v>
      </c>
      <c r="P39" s="277"/>
      <c r="Q39" s="277"/>
      <c r="R39" s="277"/>
      <c r="S39" s="277"/>
      <c r="T39" s="277"/>
      <c r="U39" s="277"/>
      <c r="V39" s="277"/>
      <c r="W39" s="307"/>
      <c r="X39" s="321"/>
      <c r="Y39" s="307"/>
      <c r="Z39" s="278"/>
      <c r="AA39" s="281"/>
      <c r="AB39" s="277"/>
      <c r="AC39" s="277"/>
      <c r="AD39" s="307"/>
      <c r="AE39" s="280"/>
      <c r="AF39" s="307"/>
      <c r="AG39" s="329"/>
      <c r="AH39" s="278"/>
      <c r="AI39" s="281"/>
      <c r="AJ39" s="307"/>
      <c r="AK39" s="279"/>
      <c r="AL39" s="282"/>
      <c r="AM39" s="277">
        <v>0</v>
      </c>
      <c r="AN39" s="307"/>
      <c r="AO39" s="329"/>
      <c r="AP39" s="321"/>
      <c r="AQ39" s="277"/>
      <c r="AR39" s="277"/>
      <c r="AS39" s="307"/>
      <c r="AT39" s="321"/>
      <c r="AU39" s="774"/>
      <c r="AV39" s="777"/>
      <c r="AW39" s="780"/>
      <c r="AY39" s="231"/>
      <c r="AZ39" s="285"/>
      <c r="BD39" s="123"/>
    </row>
    <row r="40" spans="1:58" ht="21" customHeight="1" thickBot="1">
      <c r="A40" s="765" t="s">
        <v>194</v>
      </c>
      <c r="B40" s="294">
        <f>B36/P36</f>
        <v>0</v>
      </c>
      <c r="C40" s="296">
        <f>C36/P36</f>
        <v>0</v>
      </c>
      <c r="D40" s="297">
        <f>D36/P36</f>
        <v>0</v>
      </c>
      <c r="E40" s="295">
        <f>E36/P36</f>
        <v>0</v>
      </c>
      <c r="F40" s="295" t="e">
        <f t="shared" ref="F40:I40" si="10">F36/T36</f>
        <v>#DIV/0!</v>
      </c>
      <c r="G40" s="295">
        <f>G36/P36</f>
        <v>0.25</v>
      </c>
      <c r="H40" s="295">
        <f>H36/P36</f>
        <v>0.5</v>
      </c>
      <c r="I40" s="295" t="e">
        <f t="shared" si="10"/>
        <v>#DIV/0!</v>
      </c>
      <c r="J40" s="295">
        <f>J36/P36</f>
        <v>0</v>
      </c>
      <c r="K40" s="296">
        <f>K36/P36</f>
        <v>0</v>
      </c>
      <c r="L40" s="295">
        <f>L36/P36</f>
        <v>0.25</v>
      </c>
      <c r="M40" s="286"/>
      <c r="N40" s="286"/>
      <c r="O40" s="286"/>
      <c r="P40" s="299">
        <f>B40+C40+D40+E40+G40+J40+K40+H40+L40</f>
        <v>1</v>
      </c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  <c r="AD40" s="286"/>
      <c r="AE40" s="286"/>
      <c r="AF40" s="286"/>
      <c r="AG40" s="286"/>
      <c r="AH40" s="286"/>
      <c r="AI40" s="286"/>
      <c r="AJ40" s="286"/>
      <c r="AK40" s="286"/>
      <c r="AL40" s="67"/>
      <c r="AM40" s="767"/>
      <c r="AN40" s="767"/>
      <c r="AO40" s="767"/>
      <c r="AP40" s="767"/>
      <c r="AQ40" s="767"/>
      <c r="AR40" s="767"/>
      <c r="AS40" s="767"/>
      <c r="AT40" s="767"/>
      <c r="AU40" s="767"/>
      <c r="AV40" s="767"/>
      <c r="AW40" s="767"/>
      <c r="AY40" s="805" t="s">
        <v>187</v>
      </c>
      <c r="AZ40" s="806"/>
      <c r="BA40" s="806"/>
      <c r="BB40" s="806"/>
      <c r="BC40" s="807"/>
      <c r="BD40" s="123"/>
    </row>
    <row r="41" spans="1:58" ht="21" customHeight="1" thickTop="1" thickBot="1">
      <c r="A41" s="766"/>
      <c r="B41" s="808">
        <f>B40+C40</f>
        <v>0</v>
      </c>
      <c r="C41" s="809"/>
      <c r="D41" s="810">
        <f>D40+E40+G40+J40+L40+H40</f>
        <v>1</v>
      </c>
      <c r="E41" s="811"/>
      <c r="F41" s="811"/>
      <c r="G41" s="811"/>
      <c r="H41" s="811"/>
      <c r="I41" s="811"/>
      <c r="J41" s="811"/>
      <c r="K41" s="811"/>
      <c r="L41" s="812"/>
      <c r="M41" s="287"/>
      <c r="N41" s="287"/>
      <c r="O41" s="287"/>
      <c r="P41" s="298">
        <f>B41+C41+D41+E41+G41+J41+K41</f>
        <v>1</v>
      </c>
      <c r="Q41" s="287"/>
      <c r="R41" s="287"/>
      <c r="S41" s="287"/>
      <c r="T41" s="287"/>
      <c r="U41" s="287"/>
      <c r="V41" s="287"/>
      <c r="W41" s="287"/>
      <c r="X41" s="287"/>
      <c r="Y41" s="287"/>
      <c r="Z41" s="287"/>
      <c r="AA41" s="287"/>
      <c r="AB41" s="287"/>
      <c r="AC41" s="287"/>
      <c r="AD41" s="287"/>
      <c r="AE41" s="287"/>
      <c r="AF41" s="287"/>
      <c r="AG41" s="287"/>
      <c r="AH41" s="287"/>
      <c r="AI41" s="287"/>
      <c r="AJ41" s="287"/>
      <c r="AK41" s="287"/>
      <c r="AM41" s="784"/>
      <c r="AN41" s="784"/>
      <c r="AO41" s="784"/>
      <c r="AP41" s="784"/>
      <c r="AQ41" s="784"/>
      <c r="AR41" s="784"/>
      <c r="AS41" s="784"/>
      <c r="AT41" s="784"/>
      <c r="AU41" s="784"/>
      <c r="AV41" s="784"/>
      <c r="AW41" s="784"/>
      <c r="AY41" s="813" t="s">
        <v>78</v>
      </c>
      <c r="AZ41" s="814"/>
      <c r="BA41" s="66" t="s">
        <v>144</v>
      </c>
      <c r="BB41" s="274" t="s">
        <v>195</v>
      </c>
      <c r="BC41" s="283"/>
      <c r="BD41" s="123"/>
    </row>
    <row r="42" spans="1:58" ht="15.95" customHeight="1">
      <c r="A42" s="781"/>
      <c r="B42" s="293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7"/>
      <c r="P42" s="287"/>
      <c r="Q42" s="287"/>
      <c r="R42" s="287"/>
      <c r="S42" s="287"/>
      <c r="T42" s="287"/>
      <c r="U42" s="287"/>
      <c r="V42" s="287"/>
      <c r="W42" s="287"/>
      <c r="X42" s="287"/>
      <c r="Y42" s="287"/>
      <c r="Z42" s="287"/>
      <c r="AA42" s="287"/>
      <c r="AB42" s="287"/>
      <c r="AC42" s="287"/>
      <c r="AD42" s="287"/>
      <c r="AE42" s="287"/>
      <c r="AF42" s="287"/>
      <c r="AG42" s="287"/>
      <c r="AH42" s="287"/>
      <c r="AI42" s="287"/>
      <c r="AJ42" s="287"/>
      <c r="AK42" s="287"/>
      <c r="AM42" s="784"/>
      <c r="AN42" s="784"/>
      <c r="AO42" s="784"/>
      <c r="AP42" s="784"/>
      <c r="AQ42" s="784"/>
      <c r="AR42" s="784"/>
      <c r="AS42" s="784"/>
      <c r="AT42" s="784"/>
      <c r="AU42" s="784"/>
      <c r="AV42" s="784"/>
      <c r="AW42" s="785"/>
      <c r="AY42" s="786" t="s">
        <v>45</v>
      </c>
      <c r="AZ42" s="787"/>
      <c r="BA42" s="284">
        <f>AF36</f>
        <v>0</v>
      </c>
      <c r="BB42" s="80">
        <f>AT36</f>
        <v>0</v>
      </c>
      <c r="BC42" s="85"/>
      <c r="BD42" s="123"/>
    </row>
    <row r="43" spans="1:58" ht="15.95" customHeight="1" thickBot="1">
      <c r="A43" s="782"/>
      <c r="B43" s="291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87"/>
      <c r="AB43" s="287"/>
      <c r="AC43" s="287"/>
      <c r="AD43" s="287"/>
      <c r="AE43" s="287"/>
      <c r="AF43" s="287"/>
      <c r="AG43" s="287"/>
      <c r="AH43" s="287"/>
      <c r="AI43" s="287"/>
      <c r="AJ43" s="287"/>
      <c r="AK43" s="287"/>
      <c r="AL43" s="334"/>
      <c r="AM43" s="788"/>
      <c r="AN43" s="788"/>
      <c r="AO43" s="788"/>
      <c r="AP43" s="788"/>
      <c r="AQ43" s="788"/>
      <c r="AR43" s="788"/>
      <c r="AS43" s="788"/>
      <c r="AT43" s="788"/>
      <c r="AU43" s="788"/>
      <c r="AV43" s="788"/>
      <c r="AW43" s="789"/>
      <c r="AY43" s="786" t="s">
        <v>73</v>
      </c>
      <c r="AZ43" s="787"/>
      <c r="BA43" s="284">
        <v>2479</v>
      </c>
      <c r="BB43" s="64">
        <v>2479</v>
      </c>
      <c r="BC43" s="65"/>
      <c r="BD43" s="123"/>
    </row>
    <row r="44" spans="1:58" ht="15.95" customHeight="1" thickTop="1" thickBot="1">
      <c r="A44" s="782"/>
      <c r="B44" s="291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87"/>
      <c r="AB44" s="287"/>
      <c r="AC44" s="287"/>
      <c r="AD44" s="287"/>
      <c r="AE44" s="287"/>
      <c r="AF44" s="287"/>
      <c r="AG44" s="287"/>
      <c r="AH44" s="287"/>
      <c r="AI44" s="287"/>
      <c r="AJ44" s="287"/>
      <c r="AK44" s="288"/>
      <c r="AL44" s="81"/>
      <c r="AM44" s="790"/>
      <c r="AN44" s="791"/>
      <c r="AO44" s="791"/>
      <c r="AP44" s="791"/>
      <c r="AQ44" s="791"/>
      <c r="AR44" s="791"/>
      <c r="AS44" s="791"/>
      <c r="AT44" s="791"/>
      <c r="AU44" s="791"/>
      <c r="AV44" s="791"/>
      <c r="AW44" s="792"/>
      <c r="AY44" s="793" t="s">
        <v>80</v>
      </c>
      <c r="AZ44" s="794"/>
      <c r="BA44" s="83">
        <v>540</v>
      </c>
      <c r="BB44" s="83">
        <v>540</v>
      </c>
      <c r="BC44" s="84"/>
      <c r="BD44" s="123"/>
    </row>
    <row r="45" spans="1:58" ht="15.75" customHeight="1" thickTop="1" thickBot="1">
      <c r="A45" s="782"/>
      <c r="B45" s="291"/>
      <c r="C45" s="287"/>
      <c r="D45" s="287"/>
      <c r="E45" s="287"/>
      <c r="F45" s="287"/>
      <c r="G45" s="287"/>
      <c r="H45" s="287"/>
      <c r="I45" s="287"/>
      <c r="J45" s="287"/>
      <c r="K45" s="287"/>
      <c r="L45" s="287"/>
      <c r="M45" s="287"/>
      <c r="N45" s="287"/>
      <c r="O45" s="287"/>
      <c r="P45" s="287"/>
      <c r="Q45" s="287"/>
      <c r="R45" s="287"/>
      <c r="S45" s="287"/>
      <c r="T45" s="287"/>
      <c r="U45" s="287"/>
      <c r="V45" s="287"/>
      <c r="W45" s="287"/>
      <c r="X45" s="287"/>
      <c r="Y45" s="287"/>
      <c r="Z45" s="287"/>
      <c r="AA45" s="287"/>
      <c r="AB45" s="287"/>
      <c r="AC45" s="287"/>
      <c r="AD45" s="287"/>
      <c r="AE45" s="287"/>
      <c r="AF45" s="287"/>
      <c r="AG45" s="287"/>
      <c r="AH45" s="287"/>
      <c r="AI45" s="287"/>
      <c r="AJ45" s="287"/>
      <c r="AK45" s="288"/>
      <c r="AL45" s="81"/>
      <c r="AM45" s="790"/>
      <c r="AN45" s="791"/>
      <c r="AO45" s="791"/>
      <c r="AP45" s="791"/>
      <c r="AQ45" s="791"/>
      <c r="AR45" s="791"/>
      <c r="AS45" s="791"/>
      <c r="AT45" s="791"/>
      <c r="AU45" s="791"/>
      <c r="AV45" s="791"/>
      <c r="AW45" s="792"/>
      <c r="AY45" s="795" t="s">
        <v>74</v>
      </c>
      <c r="AZ45" s="796"/>
      <c r="BA45" s="273">
        <f>(BA43+BA44)*BA42</f>
        <v>0</v>
      </c>
      <c r="BB45" s="273">
        <f>(BB43+BB44)*BB42</f>
        <v>0</v>
      </c>
      <c r="BC45" s="82"/>
      <c r="BD45" s="123"/>
    </row>
    <row r="46" spans="1:58" ht="15.95" customHeight="1" thickTop="1" thickBot="1">
      <c r="A46" s="782"/>
      <c r="B46" s="291"/>
      <c r="C46" s="287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287"/>
      <c r="S46" s="287"/>
      <c r="T46" s="287"/>
      <c r="U46" s="287"/>
      <c r="V46" s="287"/>
      <c r="W46" s="287"/>
      <c r="X46" s="287"/>
      <c r="Y46" s="287"/>
      <c r="Z46" s="287"/>
      <c r="AA46" s="287"/>
      <c r="AB46" s="287"/>
      <c r="AC46" s="287"/>
      <c r="AD46" s="287"/>
      <c r="AE46" s="287"/>
      <c r="AF46" s="287"/>
      <c r="AG46" s="287"/>
      <c r="AH46" s="287"/>
      <c r="AI46" s="287"/>
      <c r="AJ46" s="287"/>
      <c r="AK46" s="288"/>
      <c r="AL46" s="81"/>
      <c r="AM46" s="790"/>
      <c r="AN46" s="791"/>
      <c r="AO46" s="791"/>
      <c r="AP46" s="791"/>
      <c r="AQ46" s="791"/>
      <c r="AR46" s="791"/>
      <c r="AS46" s="791"/>
      <c r="AT46" s="791"/>
      <c r="AU46" s="791"/>
      <c r="AV46" s="791"/>
      <c r="AW46" s="792"/>
      <c r="AY46" s="797" t="s">
        <v>77</v>
      </c>
      <c r="AZ46" s="798"/>
      <c r="BA46" s="818">
        <f>BA42+BB42+BC42</f>
        <v>0</v>
      </c>
      <c r="BB46" s="819"/>
      <c r="BC46" s="820"/>
      <c r="BD46" s="123"/>
    </row>
    <row r="47" spans="1:58" ht="15.95" customHeight="1" thickTop="1" thickBot="1">
      <c r="A47" s="782"/>
      <c r="B47" s="291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287"/>
      <c r="S47" s="287"/>
      <c r="T47" s="287"/>
      <c r="U47" s="287"/>
      <c r="V47" s="287"/>
      <c r="W47" s="287"/>
      <c r="X47" s="287"/>
      <c r="Y47" s="287"/>
      <c r="Z47" s="287"/>
      <c r="AA47" s="287"/>
      <c r="AB47" s="287"/>
      <c r="AC47" s="287"/>
      <c r="AD47" s="287"/>
      <c r="AE47" s="287"/>
      <c r="AF47" s="287"/>
      <c r="AG47" s="287"/>
      <c r="AH47" s="287"/>
      <c r="AI47" s="287"/>
      <c r="AJ47" s="287"/>
      <c r="AK47" s="288"/>
      <c r="AL47" s="81"/>
      <c r="AM47" s="790"/>
      <c r="AN47" s="791"/>
      <c r="AO47" s="791"/>
      <c r="AP47" s="791"/>
      <c r="AQ47" s="791"/>
      <c r="AR47" s="791"/>
      <c r="AS47" s="791"/>
      <c r="AT47" s="791"/>
      <c r="AU47" s="791"/>
      <c r="AV47" s="791"/>
      <c r="AW47" s="792"/>
      <c r="AY47" s="821" t="s">
        <v>76</v>
      </c>
      <c r="AZ47" s="822"/>
      <c r="BA47" s="823">
        <f>BA46*BA48</f>
        <v>0</v>
      </c>
      <c r="BB47" s="824"/>
      <c r="BC47" s="825"/>
      <c r="BD47" s="123"/>
    </row>
    <row r="48" spans="1:58" ht="15.95" customHeight="1" thickTop="1" thickBot="1">
      <c r="A48" s="782"/>
      <c r="B48" s="291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287"/>
      <c r="AA48" s="287"/>
      <c r="AB48" s="287"/>
      <c r="AC48" s="287"/>
      <c r="AD48" s="287"/>
      <c r="AE48" s="287"/>
      <c r="AF48" s="287"/>
      <c r="AG48" s="287"/>
      <c r="AH48" s="287"/>
      <c r="AI48" s="287"/>
      <c r="AJ48" s="287"/>
      <c r="AK48" s="288"/>
      <c r="AL48" s="81"/>
      <c r="AM48" s="790"/>
      <c r="AN48" s="791"/>
      <c r="AO48" s="791"/>
      <c r="AP48" s="791"/>
      <c r="AQ48" s="791"/>
      <c r="AR48" s="791"/>
      <c r="AS48" s="791"/>
      <c r="AT48" s="791"/>
      <c r="AU48" s="791"/>
      <c r="AV48" s="791"/>
      <c r="AW48" s="792"/>
      <c r="AY48" s="821" t="s">
        <v>75</v>
      </c>
      <c r="AZ48" s="822"/>
      <c r="BA48" s="826">
        <v>3019</v>
      </c>
      <c r="BB48" s="827"/>
      <c r="BC48" s="828"/>
    </row>
    <row r="49" spans="1:55" ht="15.95" customHeight="1" thickTop="1" thickBot="1">
      <c r="A49" s="783"/>
      <c r="B49" s="292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  <c r="Z49" s="289"/>
      <c r="AA49" s="289"/>
      <c r="AB49" s="289"/>
      <c r="AC49" s="289"/>
      <c r="AD49" s="289"/>
      <c r="AE49" s="289"/>
      <c r="AF49" s="289"/>
      <c r="AG49" s="289"/>
      <c r="AH49" s="289"/>
      <c r="AI49" s="289"/>
      <c r="AJ49" s="289"/>
      <c r="AK49" s="290"/>
      <c r="AL49" s="275"/>
      <c r="AM49" s="799"/>
      <c r="AN49" s="800"/>
      <c r="AO49" s="800"/>
      <c r="AP49" s="800"/>
      <c r="AQ49" s="800"/>
      <c r="AR49" s="800"/>
      <c r="AS49" s="800"/>
      <c r="AT49" s="800"/>
      <c r="AU49" s="800"/>
      <c r="AV49" s="800"/>
      <c r="AW49" s="801"/>
      <c r="AY49" s="802" t="s">
        <v>190</v>
      </c>
      <c r="AZ49" s="803"/>
      <c r="BA49" s="803"/>
      <c r="BB49" s="803"/>
      <c r="BC49" s="804"/>
    </row>
    <row r="51" spans="1:55" ht="14.25" thickBot="1"/>
    <row r="52" spans="1:55" ht="14.25" thickTop="1">
      <c r="AY52" s="235" t="s">
        <v>7</v>
      </c>
      <c r="AZ52" s="815" t="s">
        <v>212</v>
      </c>
      <c r="BA52" s="816"/>
      <c r="BB52" s="815" t="s">
        <v>214</v>
      </c>
      <c r="BC52" s="817"/>
    </row>
    <row r="53" spans="1:55">
      <c r="AY53" s="233" t="s">
        <v>176</v>
      </c>
      <c r="AZ53" s="236" t="s">
        <v>44</v>
      </c>
      <c r="BA53" s="237" t="s">
        <v>177</v>
      </c>
      <c r="BB53" s="234" t="s">
        <v>45</v>
      </c>
      <c r="BC53" s="232" t="s">
        <v>177</v>
      </c>
    </row>
    <row r="54" spans="1:55" ht="14.25" thickBot="1">
      <c r="AY54" s="252">
        <v>29</v>
      </c>
      <c r="AZ54" s="255">
        <f>AW36</f>
        <v>0</v>
      </c>
      <c r="BA54" s="253" t="e">
        <f>AW37</f>
        <v>#DIV/0!</v>
      </c>
      <c r="BB54" s="256">
        <f>AV36</f>
        <v>8</v>
      </c>
      <c r="BC54" s="254" t="e">
        <f>AV37</f>
        <v>#DIV/0!</v>
      </c>
    </row>
    <row r="55" spans="1:55" ht="14.25" thickTop="1"/>
  </sheetData>
  <mergeCells count="70">
    <mergeCell ref="AZ52:BA52"/>
    <mergeCell ref="BB52:BC52"/>
    <mergeCell ref="BA46:BC46"/>
    <mergeCell ref="AM47:AW47"/>
    <mergeCell ref="AY47:AZ47"/>
    <mergeCell ref="BA47:BC47"/>
    <mergeCell ref="AM48:AW48"/>
    <mergeCell ref="AY48:AZ48"/>
    <mergeCell ref="BA48:BC48"/>
    <mergeCell ref="AY40:BC40"/>
    <mergeCell ref="B41:C41"/>
    <mergeCell ref="D41:L41"/>
    <mergeCell ref="AM41:AW41"/>
    <mergeCell ref="AY41:AZ41"/>
    <mergeCell ref="A42:A49"/>
    <mergeCell ref="AM42:AW42"/>
    <mergeCell ref="AY42:AZ42"/>
    <mergeCell ref="AM43:AW43"/>
    <mergeCell ref="AY43:AZ43"/>
    <mergeCell ref="AM44:AW44"/>
    <mergeCell ref="AY44:AZ44"/>
    <mergeCell ref="AM45:AW45"/>
    <mergeCell ref="AY45:AZ45"/>
    <mergeCell ref="AM46:AW46"/>
    <mergeCell ref="AY46:AZ46"/>
    <mergeCell ref="AM49:AW49"/>
    <mergeCell ref="AY49:BC49"/>
    <mergeCell ref="A40:A41"/>
    <mergeCell ref="AM40:AW40"/>
    <mergeCell ref="AT29:AU29"/>
    <mergeCell ref="AT30:AU30"/>
    <mergeCell ref="AT31:AU31"/>
    <mergeCell ref="AT32:AU32"/>
    <mergeCell ref="AT33:AU33"/>
    <mergeCell ref="AT34:AU34"/>
    <mergeCell ref="AT35:AU35"/>
    <mergeCell ref="AT36:AU36"/>
    <mergeCell ref="AU37:AU39"/>
    <mergeCell ref="AV37:AV39"/>
    <mergeCell ref="AW37:AW39"/>
    <mergeCell ref="AT28:AU28"/>
    <mergeCell ref="AT17:AU17"/>
    <mergeCell ref="AT18:AU18"/>
    <mergeCell ref="AT19:AU19"/>
    <mergeCell ref="AT20:AU20"/>
    <mergeCell ref="AT21:AU21"/>
    <mergeCell ref="AT22:AU22"/>
    <mergeCell ref="AT23:AU23"/>
    <mergeCell ref="AT24:AU24"/>
    <mergeCell ref="AT25:AU25"/>
    <mergeCell ref="AT26:AU26"/>
    <mergeCell ref="AT27:AU27"/>
    <mergeCell ref="AT16:AU16"/>
    <mergeCell ref="AT5:AU5"/>
    <mergeCell ref="AT6:AU6"/>
    <mergeCell ref="AT7:AU7"/>
    <mergeCell ref="AT8:AU8"/>
    <mergeCell ref="AT9:AU9"/>
    <mergeCell ref="AT10:AU10"/>
    <mergeCell ref="AT11:AU11"/>
    <mergeCell ref="AT12:AU12"/>
    <mergeCell ref="AT13:AU13"/>
    <mergeCell ref="AT14:AU14"/>
    <mergeCell ref="AT15:AU15"/>
    <mergeCell ref="AT4:AU4"/>
    <mergeCell ref="A1:AV1"/>
    <mergeCell ref="A2:A3"/>
    <mergeCell ref="B2:AW2"/>
    <mergeCell ref="AY2:BB2"/>
    <mergeCell ref="AT3:AU3"/>
  </mergeCells>
  <phoneticPr fontId="4" type="noConversion"/>
  <printOptions horizontalCentered="1" verticalCentered="1"/>
  <pageMargins left="0.11811023622047245" right="0.11811023622047245" top="0.35433070866141736" bottom="0.35433070866141736" header="0" footer="0"/>
  <rowBreaks count="1" manualBreakCount="1">
    <brk id="1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55"/>
  <sheetViews>
    <sheetView zoomScale="70" zoomScaleNormal="70" workbookViewId="0">
      <selection activeCell="X10" sqref="X10"/>
    </sheetView>
  </sheetViews>
  <sheetFormatPr defaultColWidth="8.88671875" defaultRowHeight="13.5"/>
  <cols>
    <col min="1" max="1" bestFit="true" customWidth="true" style="2" width="8.5546875" collapsed="true"/>
    <col min="2" max="2" bestFit="true" customWidth="true" style="2" width="9.77734375" collapsed="true"/>
    <col min="3" max="4" customWidth="true" style="2" width="8.77734375" collapsed="true"/>
    <col min="5" max="5" bestFit="true" customWidth="true" style="2" width="10.33203125" collapsed="true"/>
    <col min="6" max="6" customWidth="true" hidden="true" style="2" width="8.77734375" collapsed="true"/>
    <col min="7" max="7" customWidth="true" style="2" width="9.109375" collapsed="true"/>
    <col min="8" max="8" bestFit="true" customWidth="true" style="2" width="9.77734375" collapsed="true"/>
    <col min="9" max="9" customWidth="true" hidden="true" style="2" width="7.88671875" collapsed="true"/>
    <col min="10" max="10" bestFit="true" customWidth="true" style="2" width="10.109375" collapsed="true"/>
    <col min="11" max="11" customWidth="true" hidden="true" style="2" width="7.88671875" collapsed="true"/>
    <col min="12" max="12" customWidth="true" style="2" width="9.33203125" collapsed="true"/>
    <col min="13" max="15" customWidth="true" hidden="true" style="2" width="7.88671875" collapsed="true"/>
    <col min="16" max="16" bestFit="true" customWidth="true" style="2" width="9.77734375" collapsed="true"/>
    <col min="17" max="17" customWidth="true" style="2" width="7.88671875" collapsed="true"/>
    <col min="18" max="18" customWidth="true" hidden="true" style="2" width="9.33203125" collapsed="true"/>
    <col min="19" max="19" customWidth="true" hidden="true" style="2" width="7.88671875" collapsed="true"/>
    <col min="20" max="20" customWidth="true" hidden="true" style="2" width="9.77734375" collapsed="true"/>
    <col min="21" max="22" customWidth="true" hidden="true" style="2" width="6.77734375" collapsed="true"/>
    <col min="23" max="23" customWidth="true" hidden="true" style="2" width="8.88671875" collapsed="true"/>
    <col min="24" max="24" customWidth="true" style="2" width="7.6640625" collapsed="true"/>
    <col min="25" max="26" customWidth="true" hidden="true" style="2" width="8.21875" collapsed="true"/>
    <col min="27" max="30" customWidth="true" hidden="true" style="2" width="6.77734375" collapsed="true"/>
    <col min="31" max="31" bestFit="true" customWidth="true" style="2" width="9.33203125" collapsed="true"/>
    <col min="32" max="32" bestFit="true" customWidth="true" style="2" width="9.77734375" collapsed="true"/>
    <col min="33" max="33" customWidth="true" style="2" width="9.77734375" collapsed="true"/>
    <col min="34" max="34" bestFit="true" customWidth="true" style="2" width="11.44140625" collapsed="true"/>
    <col min="35" max="36" customWidth="true" hidden="true" style="2" width="6.77734375" collapsed="true"/>
    <col min="37" max="37" customWidth="true" style="2" width="9.77734375" collapsed="true"/>
    <col min="38" max="38" bestFit="true" customWidth="true" style="2" width="9.44140625" collapsed="true"/>
    <col min="39" max="40" customWidth="true" hidden="true" style="2" width="6.77734375" collapsed="true"/>
    <col min="41" max="42" bestFit="true" customWidth="true" style="2" width="7.88671875" collapsed="true"/>
    <col min="43" max="44" customWidth="true" hidden="true" style="2" width="6.77734375" collapsed="true"/>
    <col min="45" max="45" customWidth="true" hidden="true" style="2" width="8.0" collapsed="true"/>
    <col min="46" max="46" customWidth="true" hidden="true" style="2" width="4.5546875" collapsed="true"/>
    <col min="47" max="47" customWidth="true" hidden="true" style="2" width="6.5546875" collapsed="true"/>
    <col min="48" max="48" bestFit="true" customWidth="true" style="2" width="10.88671875" collapsed="true"/>
    <col min="49" max="49" bestFit="true" customWidth="true" style="2" width="11.44140625" collapsed="true"/>
    <col min="50" max="50" bestFit="true" customWidth="true" style="2" width="8.77734375" collapsed="true"/>
    <col min="51" max="51" bestFit="true" customWidth="true" style="2" width="10.88671875" collapsed="true"/>
    <col min="52" max="52" bestFit="true" customWidth="true" style="2" width="11.44140625" collapsed="true"/>
    <col min="53" max="53" bestFit="true" customWidth="true" style="2" width="8.77734375" collapsed="true"/>
    <col min="54" max="16384" style="2" width="8.88671875" collapsed="true"/>
  </cols>
  <sheetData>
    <row r="1" spans="1:60" ht="51" customHeight="1" thickBot="1">
      <c r="A1" s="907" t="s">
        <v>261</v>
      </c>
      <c r="B1" s="907"/>
      <c r="C1" s="907"/>
      <c r="D1" s="907"/>
      <c r="E1" s="907"/>
      <c r="F1" s="907"/>
      <c r="G1" s="907"/>
      <c r="H1" s="907"/>
      <c r="I1" s="907"/>
      <c r="J1" s="907"/>
      <c r="K1" s="907"/>
      <c r="L1" s="907"/>
      <c r="M1" s="907"/>
      <c r="N1" s="907"/>
      <c r="O1" s="907"/>
      <c r="P1" s="907"/>
      <c r="Q1" s="907"/>
      <c r="R1" s="907"/>
      <c r="S1" s="907"/>
      <c r="T1" s="907"/>
      <c r="U1" s="907"/>
      <c r="V1" s="907"/>
      <c r="W1" s="907"/>
      <c r="X1" s="907"/>
      <c r="Y1" s="907"/>
      <c r="Z1" s="907"/>
      <c r="AA1" s="907"/>
      <c r="AB1" s="907"/>
      <c r="AC1" s="907"/>
      <c r="AD1" s="907"/>
      <c r="AE1" s="907"/>
      <c r="AF1" s="907"/>
      <c r="AG1" s="907"/>
      <c r="AH1" s="907"/>
      <c r="AI1" s="907"/>
      <c r="AJ1" s="907"/>
      <c r="AK1" s="907"/>
      <c r="AL1" s="907"/>
      <c r="AM1" s="907"/>
      <c r="AN1" s="907"/>
      <c r="AO1" s="907"/>
      <c r="AP1" s="907"/>
      <c r="AQ1" s="907"/>
      <c r="AR1" s="907"/>
      <c r="AS1" s="907"/>
      <c r="AT1" s="907"/>
      <c r="AU1" s="907"/>
      <c r="AV1" s="907"/>
      <c r="AW1" s="907"/>
      <c r="AX1" s="907"/>
      <c r="AY1" s="907"/>
      <c r="AZ1" s="907"/>
      <c r="BA1" s="907"/>
    </row>
    <row r="2" spans="1:60" ht="50.1" customHeight="1" thickTop="1">
      <c r="A2" s="899" t="s">
        <v>2</v>
      </c>
      <c r="B2" s="141" t="s">
        <v>69</v>
      </c>
      <c r="C2" s="142" t="s">
        <v>68</v>
      </c>
      <c r="D2" s="142" t="s">
        <v>120</v>
      </c>
      <c r="E2" s="142" t="s">
        <v>40</v>
      </c>
      <c r="F2" s="142" t="s">
        <v>23</v>
      </c>
      <c r="G2" s="142" t="s">
        <v>63</v>
      </c>
      <c r="H2" s="142" t="s">
        <v>58</v>
      </c>
      <c r="I2" s="104" t="s">
        <v>22</v>
      </c>
      <c r="J2" s="142" t="s">
        <v>110</v>
      </c>
      <c r="K2" s="105" t="s">
        <v>150</v>
      </c>
      <c r="L2" s="104" t="s">
        <v>209</v>
      </c>
      <c r="M2" s="104" t="s">
        <v>48</v>
      </c>
      <c r="N2" s="104" t="s">
        <v>52</v>
      </c>
      <c r="O2" s="104" t="s">
        <v>53</v>
      </c>
      <c r="P2" s="901" t="s">
        <v>57</v>
      </c>
      <c r="Q2" s="922" t="s">
        <v>4</v>
      </c>
      <c r="R2" s="143" t="s">
        <v>180</v>
      </c>
      <c r="S2" s="144"/>
      <c r="T2" s="144" t="s">
        <v>32</v>
      </c>
      <c r="U2" s="144" t="s">
        <v>54</v>
      </c>
      <c r="V2" s="144" t="s">
        <v>29</v>
      </c>
      <c r="W2" s="106" t="s">
        <v>30</v>
      </c>
      <c r="X2" s="144" t="s">
        <v>38</v>
      </c>
      <c r="Y2" s="144" t="s">
        <v>186</v>
      </c>
      <c r="Z2" s="144" t="s">
        <v>208</v>
      </c>
      <c r="AA2" s="144" t="s">
        <v>49</v>
      </c>
      <c r="AB2" s="144" t="s">
        <v>50</v>
      </c>
      <c r="AC2" s="144" t="s">
        <v>51</v>
      </c>
      <c r="AD2" s="144" t="s">
        <v>31</v>
      </c>
      <c r="AE2" s="145" t="s">
        <v>107</v>
      </c>
      <c r="AF2" s="903" t="s">
        <v>55</v>
      </c>
      <c r="AG2" s="304" t="s">
        <v>41</v>
      </c>
      <c r="AH2" s="305" t="s">
        <v>111</v>
      </c>
      <c r="AI2" s="305" t="s">
        <v>113</v>
      </c>
      <c r="AJ2" s="305" t="s">
        <v>114</v>
      </c>
      <c r="AK2" s="893" t="s">
        <v>201</v>
      </c>
      <c r="AL2" s="926" t="s">
        <v>196</v>
      </c>
      <c r="AM2" s="934" t="s">
        <v>36</v>
      </c>
      <c r="AN2" s="889" t="s">
        <v>47</v>
      </c>
      <c r="AO2" s="895" t="s">
        <v>25</v>
      </c>
      <c r="AP2" s="891" t="s">
        <v>26</v>
      </c>
      <c r="AQ2" s="932" t="s">
        <v>36</v>
      </c>
      <c r="AR2" s="930" t="s">
        <v>47</v>
      </c>
      <c r="AS2" s="928" t="s">
        <v>152</v>
      </c>
      <c r="AT2" s="881" t="s">
        <v>156</v>
      </c>
      <c r="AU2" s="882"/>
      <c r="AV2" s="887" t="s">
        <v>34</v>
      </c>
      <c r="AW2" s="855" t="s">
        <v>44</v>
      </c>
      <c r="AX2" s="908" t="s">
        <v>39</v>
      </c>
      <c r="AY2" s="936" t="s">
        <v>56</v>
      </c>
      <c r="AZ2" s="905" t="s">
        <v>45</v>
      </c>
      <c r="BA2" s="910" t="s">
        <v>39</v>
      </c>
    </row>
    <row r="3" spans="1:60" ht="39.950000000000003" customHeight="1" thickBot="1">
      <c r="A3" s="900"/>
      <c r="B3" s="102" t="s">
        <v>162</v>
      </c>
      <c r="C3" s="103" t="s">
        <v>163</v>
      </c>
      <c r="D3" s="103" t="s">
        <v>164</v>
      </c>
      <c r="E3" s="103" t="s">
        <v>165</v>
      </c>
      <c r="F3" s="103" t="s">
        <v>67</v>
      </c>
      <c r="G3" s="103" t="s">
        <v>166</v>
      </c>
      <c r="H3" s="103" t="s">
        <v>167</v>
      </c>
      <c r="I3" s="103"/>
      <c r="J3" s="103" t="s">
        <v>168</v>
      </c>
      <c r="K3" s="107" t="s">
        <v>169</v>
      </c>
      <c r="L3" s="103" t="s">
        <v>210</v>
      </c>
      <c r="M3" s="103"/>
      <c r="N3" s="103"/>
      <c r="O3" s="108"/>
      <c r="P3" s="902"/>
      <c r="Q3" s="923"/>
      <c r="R3" s="179" t="s">
        <v>183</v>
      </c>
      <c r="S3" s="180"/>
      <c r="T3" s="180" t="s">
        <v>153</v>
      </c>
      <c r="U3" s="180"/>
      <c r="V3" s="180" t="s">
        <v>154</v>
      </c>
      <c r="W3" s="180" t="s">
        <v>155</v>
      </c>
      <c r="X3" s="180" t="s">
        <v>170</v>
      </c>
      <c r="Y3" s="180" t="s">
        <v>184</v>
      </c>
      <c r="Z3" s="180"/>
      <c r="AA3" s="180"/>
      <c r="AB3" s="180"/>
      <c r="AC3" s="180"/>
      <c r="AD3" s="180"/>
      <c r="AE3" s="181"/>
      <c r="AF3" s="904"/>
      <c r="AG3" s="330"/>
      <c r="AH3" s="331" t="s">
        <v>112</v>
      </c>
      <c r="AI3" s="331"/>
      <c r="AJ3" s="331"/>
      <c r="AK3" s="894"/>
      <c r="AL3" s="927"/>
      <c r="AM3" s="935"/>
      <c r="AN3" s="890"/>
      <c r="AO3" s="896"/>
      <c r="AP3" s="892"/>
      <c r="AQ3" s="933"/>
      <c r="AR3" s="931"/>
      <c r="AS3" s="929"/>
      <c r="AT3" s="883"/>
      <c r="AU3" s="884"/>
      <c r="AV3" s="888"/>
      <c r="AW3" s="856"/>
      <c r="AX3" s="909"/>
      <c r="AY3" s="937"/>
      <c r="AZ3" s="906"/>
      <c r="BA3" s="911"/>
    </row>
    <row r="4" spans="1:60" ht="39.950000000000003" customHeight="1" thickTop="1" thickBot="1">
      <c r="A4" s="87" t="s">
        <v>262</v>
      </c>
      <c r="B4" s="88">
        <v>14353.760000000002</v>
      </c>
      <c r="C4" s="89">
        <v>4589.2299999999987</v>
      </c>
      <c r="D4" s="89">
        <v>1172.9500000000003</v>
      </c>
      <c r="E4" s="89">
        <v>12324.82</v>
      </c>
      <c r="F4" s="89">
        <v>0</v>
      </c>
      <c r="G4" s="89">
        <v>1520</v>
      </c>
      <c r="H4" s="89">
        <v>8958</v>
      </c>
      <c r="I4" s="89">
        <v>0</v>
      </c>
      <c r="J4" s="89">
        <v>5710</v>
      </c>
      <c r="K4" s="89">
        <v>51</v>
      </c>
      <c r="L4" s="89"/>
      <c r="M4" s="89">
        <v>0</v>
      </c>
      <c r="N4" s="89">
        <v>0</v>
      </c>
      <c r="O4" s="90">
        <v>0</v>
      </c>
      <c r="P4" s="91">
        <v>48679.22</v>
      </c>
      <c r="Q4" s="92">
        <v>0.4030770561512107</v>
      </c>
      <c r="R4" s="93"/>
      <c r="S4" s="94">
        <v>0</v>
      </c>
      <c r="T4" s="94">
        <v>8325.7999999999993</v>
      </c>
      <c r="U4" s="94">
        <v>0</v>
      </c>
      <c r="V4" s="94">
        <v>89</v>
      </c>
      <c r="W4" s="94">
        <v>1419.0299999999995</v>
      </c>
      <c r="X4" s="94">
        <v>1280.9399999999998</v>
      </c>
      <c r="Y4" s="94">
        <v>0</v>
      </c>
      <c r="Z4" s="94">
        <v>0</v>
      </c>
      <c r="AA4" s="94">
        <v>0</v>
      </c>
      <c r="AB4" s="94">
        <v>0</v>
      </c>
      <c r="AC4" s="94">
        <v>0</v>
      </c>
      <c r="AD4" s="94">
        <v>0</v>
      </c>
      <c r="AE4" s="95">
        <v>1457.7600000000002</v>
      </c>
      <c r="AF4" s="96">
        <v>13426.620000000003</v>
      </c>
      <c r="AG4" s="93">
        <v>5916.3199999999988</v>
      </c>
      <c r="AH4" s="89">
        <v>6302.5400000000009</v>
      </c>
      <c r="AI4" s="89">
        <v>0</v>
      </c>
      <c r="AJ4" s="89">
        <v>0</v>
      </c>
      <c r="AK4" s="88">
        <v>35203.749999999993</v>
      </c>
      <c r="AL4" s="101">
        <v>35204</v>
      </c>
      <c r="AM4" s="97">
        <v>0</v>
      </c>
      <c r="AN4" s="98">
        <v>0</v>
      </c>
      <c r="AO4" s="99">
        <v>2332</v>
      </c>
      <c r="AP4" s="97">
        <v>1745</v>
      </c>
      <c r="AQ4" s="98">
        <v>0</v>
      </c>
      <c r="AR4" s="100">
        <v>0</v>
      </c>
      <c r="AS4" s="101">
        <v>0</v>
      </c>
      <c r="AT4" s="885">
        <v>6884</v>
      </c>
      <c r="AU4" s="886"/>
      <c r="AV4" s="97">
        <v>113335</v>
      </c>
      <c r="AW4" s="207">
        <v>121879</v>
      </c>
      <c r="AX4" s="208">
        <v>1.0759134666584893</v>
      </c>
      <c r="AY4" s="221">
        <v>103600</v>
      </c>
      <c r="AZ4" s="89">
        <v>121979</v>
      </c>
      <c r="BA4" s="222">
        <v>1.1782348531175211</v>
      </c>
    </row>
    <row r="5" spans="1:60" s="112" customFormat="1" ht="50.1" customHeight="1" thickTop="1">
      <c r="A5" s="124" t="s">
        <v>5</v>
      </c>
      <c r="B5" s="149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1"/>
      <c r="P5" s="152"/>
      <c r="Q5" s="153"/>
      <c r="R5" s="154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1"/>
      <c r="AF5" s="155"/>
      <c r="AG5" s="154"/>
      <c r="AH5" s="150"/>
      <c r="AI5" s="157"/>
      <c r="AJ5" s="157"/>
      <c r="AK5" s="149"/>
      <c r="AL5" s="155"/>
      <c r="AM5" s="156"/>
      <c r="AN5" s="157"/>
      <c r="AO5" s="151"/>
      <c r="AP5" s="154"/>
      <c r="AQ5" s="157"/>
      <c r="AR5" s="158"/>
      <c r="AS5" s="159"/>
      <c r="AT5" s="857"/>
      <c r="AU5" s="858"/>
      <c r="AV5" s="209"/>
      <c r="AW5" s="210"/>
      <c r="AX5" s="211" t="e">
        <f>AW5/AV5</f>
        <v>#DIV/0!</v>
      </c>
      <c r="AY5" s="209"/>
      <c r="AZ5" s="150"/>
      <c r="BA5" s="223" t="e">
        <f>AZ5/AY5</f>
        <v>#DIV/0!</v>
      </c>
    </row>
    <row r="6" spans="1:60" s="112" customFormat="1" ht="50.1" customHeight="1">
      <c r="A6" s="125" t="s">
        <v>6</v>
      </c>
      <c r="B6" s="160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2"/>
      <c r="P6" s="163"/>
      <c r="Q6" s="164"/>
      <c r="R6" s="165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2"/>
      <c r="AF6" s="166"/>
      <c r="AG6" s="165"/>
      <c r="AH6" s="161"/>
      <c r="AI6" s="161"/>
      <c r="AJ6" s="161"/>
      <c r="AK6" s="160"/>
      <c r="AL6" s="166"/>
      <c r="AM6" s="165"/>
      <c r="AN6" s="161"/>
      <c r="AO6" s="162"/>
      <c r="AP6" s="165"/>
      <c r="AQ6" s="161"/>
      <c r="AR6" s="160"/>
      <c r="AS6" s="166"/>
      <c r="AT6" s="867"/>
      <c r="AU6" s="868"/>
      <c r="AV6" s="212"/>
      <c r="AW6" s="213"/>
      <c r="AX6" s="214" t="e">
        <f t="shared" ref="AX6:AX15" si="0">AW6/AV6</f>
        <v>#DIV/0!</v>
      </c>
      <c r="AY6" s="212"/>
      <c r="AZ6" s="161"/>
      <c r="BA6" s="224" t="e">
        <f t="shared" ref="BA6:BA15" si="1">AZ6/AY6</f>
        <v>#DIV/0!</v>
      </c>
    </row>
    <row r="7" spans="1:60" s="112" customFormat="1" ht="50.1" customHeight="1">
      <c r="A7" s="125" t="s">
        <v>7</v>
      </c>
      <c r="B7" s="160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2"/>
      <c r="P7" s="163"/>
      <c r="Q7" s="164"/>
      <c r="R7" s="165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2"/>
      <c r="AF7" s="166"/>
      <c r="AG7" s="165"/>
      <c r="AH7" s="161"/>
      <c r="AI7" s="161"/>
      <c r="AJ7" s="161"/>
      <c r="AK7" s="160"/>
      <c r="AL7" s="166"/>
      <c r="AM7" s="165"/>
      <c r="AN7" s="161"/>
      <c r="AO7" s="162"/>
      <c r="AP7" s="165"/>
      <c r="AQ7" s="161"/>
      <c r="AR7" s="160"/>
      <c r="AS7" s="166"/>
      <c r="AT7" s="867"/>
      <c r="AU7" s="868"/>
      <c r="AV7" s="212"/>
      <c r="AW7" s="213"/>
      <c r="AX7" s="214" t="e">
        <f t="shared" si="0"/>
        <v>#DIV/0!</v>
      </c>
      <c r="AY7" s="212"/>
      <c r="AZ7" s="161"/>
      <c r="BA7" s="224" t="e">
        <f t="shared" si="1"/>
        <v>#DIV/0!</v>
      </c>
    </row>
    <row r="8" spans="1:60" s="112" customFormat="1" ht="50.1" customHeight="1">
      <c r="A8" s="125" t="s">
        <v>8</v>
      </c>
      <c r="B8" s="160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2"/>
      <c r="P8" s="163"/>
      <c r="Q8" s="164"/>
      <c r="R8" s="165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2"/>
      <c r="AF8" s="166"/>
      <c r="AG8" s="165"/>
      <c r="AH8" s="161"/>
      <c r="AI8" s="161"/>
      <c r="AJ8" s="161"/>
      <c r="AK8" s="160"/>
      <c r="AL8" s="166"/>
      <c r="AM8" s="165"/>
      <c r="AN8" s="161"/>
      <c r="AO8" s="162"/>
      <c r="AP8" s="165"/>
      <c r="AQ8" s="161"/>
      <c r="AR8" s="160"/>
      <c r="AS8" s="166"/>
      <c r="AT8" s="867"/>
      <c r="AU8" s="868"/>
      <c r="AV8" s="212"/>
      <c r="AW8" s="213"/>
      <c r="AX8" s="214" t="e">
        <f t="shared" si="0"/>
        <v>#DIV/0!</v>
      </c>
      <c r="AY8" s="212"/>
      <c r="AZ8" s="161"/>
      <c r="BA8" s="224" t="e">
        <f t="shared" si="1"/>
        <v>#DIV/0!</v>
      </c>
    </row>
    <row r="9" spans="1:60" s="112" customFormat="1" ht="50.1" customHeight="1">
      <c r="A9" s="125" t="s">
        <v>9</v>
      </c>
      <c r="B9" s="160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2"/>
      <c r="P9" s="163"/>
      <c r="Q9" s="164"/>
      <c r="R9" s="165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2"/>
      <c r="AF9" s="166"/>
      <c r="AG9" s="165"/>
      <c r="AH9" s="161"/>
      <c r="AI9" s="161"/>
      <c r="AJ9" s="161"/>
      <c r="AK9" s="160"/>
      <c r="AL9" s="166"/>
      <c r="AM9" s="165"/>
      <c r="AN9" s="161"/>
      <c r="AO9" s="162"/>
      <c r="AP9" s="165"/>
      <c r="AQ9" s="161"/>
      <c r="AR9" s="160"/>
      <c r="AS9" s="166"/>
      <c r="AT9" s="867"/>
      <c r="AU9" s="868"/>
      <c r="AV9" s="212"/>
      <c r="AW9" s="213"/>
      <c r="AX9" s="214" t="e">
        <f t="shared" si="0"/>
        <v>#DIV/0!</v>
      </c>
      <c r="AY9" s="212"/>
      <c r="AZ9" s="161"/>
      <c r="BA9" s="224" t="e">
        <f t="shared" si="1"/>
        <v>#DIV/0!</v>
      </c>
    </row>
    <row r="10" spans="1:60" s="112" customFormat="1" ht="50.1" customHeight="1">
      <c r="A10" s="125" t="s">
        <v>10</v>
      </c>
      <c r="B10" s="160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2"/>
      <c r="P10" s="163"/>
      <c r="Q10" s="164"/>
      <c r="R10" s="167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9"/>
      <c r="AF10" s="166"/>
      <c r="AG10" s="165"/>
      <c r="AH10" s="161"/>
      <c r="AI10" s="161"/>
      <c r="AJ10" s="161"/>
      <c r="AK10" s="160"/>
      <c r="AL10" s="166"/>
      <c r="AM10" s="165"/>
      <c r="AN10" s="161"/>
      <c r="AO10" s="162"/>
      <c r="AP10" s="165"/>
      <c r="AQ10" s="161"/>
      <c r="AR10" s="160"/>
      <c r="AS10" s="166"/>
      <c r="AT10" s="867"/>
      <c r="AU10" s="868"/>
      <c r="AV10" s="212"/>
      <c r="AW10" s="213"/>
      <c r="AX10" s="214" t="e">
        <f t="shared" si="0"/>
        <v>#DIV/0!</v>
      </c>
      <c r="AY10" s="212"/>
      <c r="AZ10" s="161"/>
      <c r="BA10" s="224" t="e">
        <f t="shared" si="1"/>
        <v>#DIV/0!</v>
      </c>
    </row>
    <row r="11" spans="1:60" s="112" customFormat="1" ht="50.1" customHeight="1">
      <c r="A11" s="125" t="s">
        <v>11</v>
      </c>
      <c r="B11" s="160"/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2"/>
      <c r="P11" s="163"/>
      <c r="Q11" s="164"/>
      <c r="R11" s="167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9"/>
      <c r="AF11" s="166"/>
      <c r="AG11" s="165"/>
      <c r="AH11" s="161"/>
      <c r="AI11" s="161"/>
      <c r="AJ11" s="161"/>
      <c r="AK11" s="160"/>
      <c r="AL11" s="166"/>
      <c r="AM11" s="165"/>
      <c r="AN11" s="161"/>
      <c r="AO11" s="162"/>
      <c r="AP11" s="165"/>
      <c r="AQ11" s="161"/>
      <c r="AR11" s="160"/>
      <c r="AS11" s="166"/>
      <c r="AT11" s="867"/>
      <c r="AU11" s="868"/>
      <c r="AV11" s="212"/>
      <c r="AW11" s="213"/>
      <c r="AX11" s="214" t="e">
        <f t="shared" si="0"/>
        <v>#DIV/0!</v>
      </c>
      <c r="AY11" s="212"/>
      <c r="AZ11" s="161"/>
      <c r="BA11" s="224" t="e">
        <f t="shared" si="1"/>
        <v>#DIV/0!</v>
      </c>
    </row>
    <row r="12" spans="1:60" s="112" customFormat="1" ht="50.1" customHeight="1">
      <c r="A12" s="125" t="s">
        <v>12</v>
      </c>
      <c r="B12" s="160"/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2"/>
      <c r="P12" s="163"/>
      <c r="Q12" s="164"/>
      <c r="R12" s="165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2"/>
      <c r="AF12" s="166"/>
      <c r="AG12" s="165"/>
      <c r="AH12" s="161"/>
      <c r="AI12" s="161"/>
      <c r="AJ12" s="161"/>
      <c r="AK12" s="160"/>
      <c r="AL12" s="166"/>
      <c r="AM12" s="165"/>
      <c r="AN12" s="161"/>
      <c r="AO12" s="162"/>
      <c r="AP12" s="165"/>
      <c r="AQ12" s="161"/>
      <c r="AR12" s="160"/>
      <c r="AS12" s="166"/>
      <c r="AT12" s="867"/>
      <c r="AU12" s="868"/>
      <c r="AV12" s="212"/>
      <c r="AW12" s="213"/>
      <c r="AX12" s="214" t="e">
        <f t="shared" si="0"/>
        <v>#DIV/0!</v>
      </c>
      <c r="AY12" s="212"/>
      <c r="AZ12" s="161"/>
      <c r="BA12" s="224" t="e">
        <f t="shared" si="1"/>
        <v>#DIV/0!</v>
      </c>
    </row>
    <row r="13" spans="1:60" s="1" customFormat="1" ht="50.1" customHeight="1">
      <c r="A13" s="125" t="s">
        <v>13</v>
      </c>
      <c r="B13" s="160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2"/>
      <c r="P13" s="163"/>
      <c r="Q13" s="164"/>
      <c r="R13" s="165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2"/>
      <c r="AF13" s="166"/>
      <c r="AG13" s="165"/>
      <c r="AH13" s="161"/>
      <c r="AI13" s="161"/>
      <c r="AJ13" s="161"/>
      <c r="AK13" s="160"/>
      <c r="AL13" s="166"/>
      <c r="AM13" s="165"/>
      <c r="AN13" s="161"/>
      <c r="AO13" s="162"/>
      <c r="AP13" s="165"/>
      <c r="AQ13" s="161"/>
      <c r="AR13" s="160"/>
      <c r="AS13" s="166"/>
      <c r="AT13" s="867"/>
      <c r="AU13" s="868"/>
      <c r="AV13" s="212"/>
      <c r="AW13" s="213"/>
      <c r="AX13" s="214" t="e">
        <f t="shared" si="0"/>
        <v>#DIV/0!</v>
      </c>
      <c r="AY13" s="212"/>
      <c r="AZ13" s="161"/>
      <c r="BA13" s="224" t="e">
        <f t="shared" si="1"/>
        <v>#DIV/0!</v>
      </c>
      <c r="BC13" s="112"/>
      <c r="BD13" s="112"/>
    </row>
    <row r="14" spans="1:60" s="1" customFormat="1" ht="50.1" customHeight="1">
      <c r="A14" s="125" t="s">
        <v>14</v>
      </c>
      <c r="B14" s="160"/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2"/>
      <c r="P14" s="163"/>
      <c r="Q14" s="164"/>
      <c r="R14" s="165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2"/>
      <c r="AF14" s="166"/>
      <c r="AG14" s="165"/>
      <c r="AH14" s="161"/>
      <c r="AI14" s="161"/>
      <c r="AJ14" s="161"/>
      <c r="AK14" s="160"/>
      <c r="AL14" s="166"/>
      <c r="AM14" s="165"/>
      <c r="AN14" s="161"/>
      <c r="AO14" s="162"/>
      <c r="AP14" s="165"/>
      <c r="AQ14" s="161"/>
      <c r="AR14" s="160"/>
      <c r="AS14" s="166"/>
      <c r="AT14" s="867"/>
      <c r="AU14" s="868"/>
      <c r="AV14" s="212"/>
      <c r="AW14" s="213"/>
      <c r="AX14" s="214" t="e">
        <f t="shared" si="0"/>
        <v>#DIV/0!</v>
      </c>
      <c r="AY14" s="212"/>
      <c r="AZ14" s="161"/>
      <c r="BA14" s="224" t="e">
        <f t="shared" si="1"/>
        <v>#DIV/0!</v>
      </c>
      <c r="BC14" s="112"/>
      <c r="BD14" s="112"/>
    </row>
    <row r="15" spans="1:60" s="1" customFormat="1" ht="50.1" customHeight="1">
      <c r="A15" s="125" t="s">
        <v>15</v>
      </c>
      <c r="B15" s="160"/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2"/>
      <c r="P15" s="163"/>
      <c r="Q15" s="164"/>
      <c r="R15" s="165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2"/>
      <c r="AF15" s="166"/>
      <c r="AG15" s="165"/>
      <c r="AH15" s="161"/>
      <c r="AI15" s="161"/>
      <c r="AJ15" s="161"/>
      <c r="AK15" s="160"/>
      <c r="AL15" s="166"/>
      <c r="AM15" s="165"/>
      <c r="AN15" s="161"/>
      <c r="AO15" s="162"/>
      <c r="AP15" s="165"/>
      <c r="AQ15" s="161"/>
      <c r="AR15" s="160"/>
      <c r="AS15" s="166"/>
      <c r="AT15" s="867"/>
      <c r="AU15" s="868"/>
      <c r="AV15" s="212"/>
      <c r="AW15" s="213"/>
      <c r="AX15" s="214" t="e">
        <f t="shared" si="0"/>
        <v>#DIV/0!</v>
      </c>
      <c r="AY15" s="212"/>
      <c r="AZ15" s="161"/>
      <c r="BA15" s="224" t="e">
        <f t="shared" si="1"/>
        <v>#DIV/0!</v>
      </c>
      <c r="BC15" s="112"/>
      <c r="BD15" s="112"/>
      <c r="BH15" s="206"/>
    </row>
    <row r="16" spans="1:60" s="1" customFormat="1" ht="50.1" customHeight="1" thickBot="1">
      <c r="A16" s="148" t="s">
        <v>16</v>
      </c>
      <c r="B16" s="170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2"/>
      <c r="P16" s="163"/>
      <c r="Q16" s="173"/>
      <c r="R16" s="174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2"/>
      <c r="AF16" s="175"/>
      <c r="AG16" s="174"/>
      <c r="AH16" s="171"/>
      <c r="AI16" s="176"/>
      <c r="AJ16" s="176"/>
      <c r="AK16" s="177"/>
      <c r="AL16" s="178"/>
      <c r="AM16" s="174"/>
      <c r="AN16" s="171"/>
      <c r="AO16" s="172"/>
      <c r="AP16" s="174"/>
      <c r="AQ16" s="171"/>
      <c r="AR16" s="170"/>
      <c r="AS16" s="178"/>
      <c r="AT16" s="924"/>
      <c r="AU16" s="925"/>
      <c r="AV16" s="212"/>
      <c r="AW16" s="215"/>
      <c r="AX16" s="216" t="e">
        <f t="shared" ref="AX16" si="2">AW16/AV16</f>
        <v>#DIV/0!</v>
      </c>
      <c r="AY16" s="212"/>
      <c r="AZ16" s="171"/>
      <c r="BA16" s="225" t="e">
        <f t="shared" ref="BA16" si="3">AZ16/AY16</f>
        <v>#DIV/0!</v>
      </c>
      <c r="BC16" s="112"/>
      <c r="BD16" s="112"/>
    </row>
    <row r="17" spans="1:56" s="3" customFormat="1" ht="50.1" customHeight="1" thickTop="1" thickBot="1">
      <c r="A17" s="147" t="s">
        <v>17</v>
      </c>
      <c r="B17" s="136">
        <f t="shared" ref="B17:O17" si="4">SUM(B5:B16)</f>
        <v>0</v>
      </c>
      <c r="C17" s="130">
        <f t="shared" si="4"/>
        <v>0</v>
      </c>
      <c r="D17" s="130">
        <f t="shared" si="4"/>
        <v>0</v>
      </c>
      <c r="E17" s="130">
        <f t="shared" si="4"/>
        <v>0</v>
      </c>
      <c r="F17" s="130">
        <f t="shared" si="4"/>
        <v>0</v>
      </c>
      <c r="G17" s="130">
        <f t="shared" si="4"/>
        <v>0</v>
      </c>
      <c r="H17" s="130">
        <f t="shared" si="4"/>
        <v>0</v>
      </c>
      <c r="I17" s="130">
        <f t="shared" si="4"/>
        <v>0</v>
      </c>
      <c r="J17" s="130">
        <f t="shared" si="4"/>
        <v>0</v>
      </c>
      <c r="K17" s="130">
        <f t="shared" si="4"/>
        <v>0</v>
      </c>
      <c r="L17" s="130">
        <f t="shared" si="4"/>
        <v>0</v>
      </c>
      <c r="M17" s="130">
        <f t="shared" si="4"/>
        <v>0</v>
      </c>
      <c r="N17" s="130">
        <f t="shared" si="4"/>
        <v>0</v>
      </c>
      <c r="O17" s="131">
        <f t="shared" si="4"/>
        <v>0</v>
      </c>
      <c r="P17" s="128">
        <f>SUM(B17:L17)</f>
        <v>0</v>
      </c>
      <c r="Q17" s="132" t="e">
        <f>AVERAGE(Q5:Q16)</f>
        <v>#DIV/0!</v>
      </c>
      <c r="R17" s="129">
        <f t="shared" ref="R17:AD17" si="5">SUM(R5:R16)</f>
        <v>0</v>
      </c>
      <c r="S17" s="130">
        <f t="shared" si="5"/>
        <v>0</v>
      </c>
      <c r="T17" s="130">
        <f t="shared" si="5"/>
        <v>0</v>
      </c>
      <c r="U17" s="130">
        <f>SUM(U5:U16)</f>
        <v>0</v>
      </c>
      <c r="V17" s="130">
        <f t="shared" si="5"/>
        <v>0</v>
      </c>
      <c r="W17" s="130">
        <f t="shared" si="5"/>
        <v>0</v>
      </c>
      <c r="X17" s="130">
        <f t="shared" ref="X17:AC17" si="6">SUM(X5:X16)</f>
        <v>0</v>
      </c>
      <c r="Y17" s="130">
        <f t="shared" si="6"/>
        <v>0</v>
      </c>
      <c r="Z17" s="130">
        <f t="shared" si="6"/>
        <v>0</v>
      </c>
      <c r="AA17" s="130">
        <f t="shared" si="6"/>
        <v>0</v>
      </c>
      <c r="AB17" s="130">
        <f t="shared" si="6"/>
        <v>0</v>
      </c>
      <c r="AC17" s="130">
        <f t="shared" si="6"/>
        <v>0</v>
      </c>
      <c r="AD17" s="130">
        <f t="shared" si="5"/>
        <v>0</v>
      </c>
      <c r="AE17" s="127">
        <f t="shared" ref="AE17:AT17" si="7">SUM(AE5:AE16)</f>
        <v>0</v>
      </c>
      <c r="AF17" s="133">
        <f t="shared" si="7"/>
        <v>0</v>
      </c>
      <c r="AG17" s="129">
        <f t="shared" si="7"/>
        <v>0</v>
      </c>
      <c r="AH17" s="126">
        <f t="shared" si="7"/>
        <v>0</v>
      </c>
      <c r="AI17" s="126">
        <f t="shared" si="7"/>
        <v>0</v>
      </c>
      <c r="AJ17" s="126">
        <f t="shared" si="7"/>
        <v>0</v>
      </c>
      <c r="AK17" s="332">
        <f t="shared" si="7"/>
        <v>0</v>
      </c>
      <c r="AL17" s="333">
        <f t="shared" si="7"/>
        <v>0</v>
      </c>
      <c r="AM17" s="139">
        <f t="shared" si="7"/>
        <v>0</v>
      </c>
      <c r="AN17" s="137">
        <f t="shared" si="7"/>
        <v>0</v>
      </c>
      <c r="AO17" s="134">
        <f t="shared" si="7"/>
        <v>0</v>
      </c>
      <c r="AP17" s="135">
        <f t="shared" si="7"/>
        <v>0</v>
      </c>
      <c r="AQ17" s="126">
        <f t="shared" si="7"/>
        <v>0</v>
      </c>
      <c r="AR17" s="138">
        <f t="shared" si="7"/>
        <v>0</v>
      </c>
      <c r="AS17" s="140">
        <f t="shared" si="7"/>
        <v>0</v>
      </c>
      <c r="AT17" s="879">
        <f t="shared" si="7"/>
        <v>0</v>
      </c>
      <c r="AU17" s="880"/>
      <c r="AV17" s="217">
        <f>SUM(AV5:AV16)</f>
        <v>0</v>
      </c>
      <c r="AW17" s="146">
        <f>SUM(AW5:AW16)</f>
        <v>0</v>
      </c>
      <c r="AX17" s="218"/>
      <c r="AY17" s="217">
        <f>SUM(AY5:AY16)</f>
        <v>0</v>
      </c>
      <c r="AZ17" s="146">
        <f>SUM(AZ5:AZ16)</f>
        <v>0</v>
      </c>
      <c r="BA17" s="226"/>
      <c r="BC17" s="112"/>
      <c r="BD17" s="112"/>
    </row>
    <row r="18" spans="1:56" s="1" customFormat="1" ht="50.1" customHeight="1" thickTop="1" thickBot="1">
      <c r="A18" s="407" t="s">
        <v>185</v>
      </c>
      <c r="B18" s="408" t="e">
        <f>AVERAGEA(B5:B16)</f>
        <v>#DIV/0!</v>
      </c>
      <c r="C18" s="409" t="e">
        <f>AVERAGEA(C5:C16)</f>
        <v>#DIV/0!</v>
      </c>
      <c r="D18" s="409" t="e">
        <f t="shared" ref="D18:AU18" si="8">AVERAGEA(D5:D16)</f>
        <v>#DIV/0!</v>
      </c>
      <c r="E18" s="409" t="e">
        <f t="shared" si="8"/>
        <v>#DIV/0!</v>
      </c>
      <c r="F18" s="409" t="e">
        <f t="shared" si="8"/>
        <v>#DIV/0!</v>
      </c>
      <c r="G18" s="409" t="e">
        <f t="shared" si="8"/>
        <v>#DIV/0!</v>
      </c>
      <c r="H18" s="409" t="e">
        <f t="shared" si="8"/>
        <v>#DIV/0!</v>
      </c>
      <c r="I18" s="409" t="e">
        <f t="shared" si="8"/>
        <v>#DIV/0!</v>
      </c>
      <c r="J18" s="409" t="e">
        <f t="shared" si="8"/>
        <v>#DIV/0!</v>
      </c>
      <c r="K18" s="409" t="e">
        <f t="shared" si="8"/>
        <v>#DIV/0!</v>
      </c>
      <c r="L18" s="409" t="e">
        <f t="shared" si="8"/>
        <v>#DIV/0!</v>
      </c>
      <c r="M18" s="409" t="e">
        <f t="shared" si="8"/>
        <v>#DIV/0!</v>
      </c>
      <c r="N18" s="409" t="e">
        <f t="shared" si="8"/>
        <v>#DIV/0!</v>
      </c>
      <c r="O18" s="410" t="e">
        <f t="shared" si="8"/>
        <v>#DIV/0!</v>
      </c>
      <c r="P18" s="411" t="e">
        <f t="shared" si="8"/>
        <v>#DIV/0!</v>
      </c>
      <c r="Q18" s="117" t="e">
        <f t="shared" si="8"/>
        <v>#DIV/0!</v>
      </c>
      <c r="R18" s="118" t="e">
        <f t="shared" si="8"/>
        <v>#DIV/0!</v>
      </c>
      <c r="S18" s="115" t="e">
        <f t="shared" si="8"/>
        <v>#DIV/0!</v>
      </c>
      <c r="T18" s="115" t="e">
        <f t="shared" si="8"/>
        <v>#DIV/0!</v>
      </c>
      <c r="U18" s="115" t="e">
        <f t="shared" si="8"/>
        <v>#DIV/0!</v>
      </c>
      <c r="V18" s="115" t="e">
        <f t="shared" si="8"/>
        <v>#DIV/0!</v>
      </c>
      <c r="W18" s="115" t="e">
        <f t="shared" si="8"/>
        <v>#DIV/0!</v>
      </c>
      <c r="X18" s="115" t="e">
        <f t="shared" si="8"/>
        <v>#DIV/0!</v>
      </c>
      <c r="Y18" s="115" t="e">
        <f t="shared" si="8"/>
        <v>#DIV/0!</v>
      </c>
      <c r="Z18" s="115" t="e">
        <f t="shared" si="8"/>
        <v>#DIV/0!</v>
      </c>
      <c r="AA18" s="115" t="e">
        <f t="shared" si="8"/>
        <v>#DIV/0!</v>
      </c>
      <c r="AB18" s="115" t="e">
        <f t="shared" si="8"/>
        <v>#DIV/0!</v>
      </c>
      <c r="AC18" s="115" t="e">
        <f t="shared" si="8"/>
        <v>#DIV/0!</v>
      </c>
      <c r="AD18" s="115" t="e">
        <f t="shared" si="8"/>
        <v>#DIV/0!</v>
      </c>
      <c r="AE18" s="116" t="e">
        <f t="shared" si="8"/>
        <v>#DIV/0!</v>
      </c>
      <c r="AF18" s="113" t="e">
        <f t="shared" si="8"/>
        <v>#DIV/0!</v>
      </c>
      <c r="AG18" s="118" t="e">
        <f t="shared" si="8"/>
        <v>#DIV/0!</v>
      </c>
      <c r="AH18" s="115" t="e">
        <f t="shared" si="8"/>
        <v>#DIV/0!</v>
      </c>
      <c r="AI18" s="115" t="e">
        <f t="shared" si="8"/>
        <v>#DIV/0!</v>
      </c>
      <c r="AJ18" s="115" t="e">
        <f t="shared" si="8"/>
        <v>#DIV/0!</v>
      </c>
      <c r="AK18" s="114" t="e">
        <f t="shared" si="8"/>
        <v>#DIV/0!</v>
      </c>
      <c r="AL18" s="119" t="e">
        <f t="shared" si="8"/>
        <v>#DIV/0!</v>
      </c>
      <c r="AM18" s="118" t="e">
        <f t="shared" si="8"/>
        <v>#DIV/0!</v>
      </c>
      <c r="AN18" s="115" t="e">
        <f t="shared" si="8"/>
        <v>#DIV/0!</v>
      </c>
      <c r="AO18" s="116" t="e">
        <f t="shared" si="8"/>
        <v>#DIV/0!</v>
      </c>
      <c r="AP18" s="118" t="e">
        <f t="shared" si="8"/>
        <v>#DIV/0!</v>
      </c>
      <c r="AQ18" s="115" t="e">
        <f t="shared" si="8"/>
        <v>#DIV/0!</v>
      </c>
      <c r="AR18" s="114" t="e">
        <f t="shared" si="8"/>
        <v>#DIV/0!</v>
      </c>
      <c r="AS18" s="119" t="e">
        <f t="shared" si="8"/>
        <v>#DIV/0!</v>
      </c>
      <c r="AT18" s="869" t="e">
        <f t="shared" si="8"/>
        <v>#DIV/0!</v>
      </c>
      <c r="AU18" s="870" t="e">
        <f t="shared" si="8"/>
        <v>#DIV/0!</v>
      </c>
      <c r="AV18" s="219" t="e">
        <f t="shared" ref="AV18:AZ18" si="9">AVERAGEA(AV5:AV16)</f>
        <v>#DIV/0!</v>
      </c>
      <c r="AW18" s="120" t="e">
        <f t="shared" si="9"/>
        <v>#DIV/0!</v>
      </c>
      <c r="AX18" s="220" t="e">
        <f>AVERAGEA(AX5:AX12)</f>
        <v>#DIV/0!</v>
      </c>
      <c r="AY18" s="219" t="e">
        <f t="shared" si="9"/>
        <v>#DIV/0!</v>
      </c>
      <c r="AZ18" s="227" t="e">
        <f t="shared" si="9"/>
        <v>#DIV/0!</v>
      </c>
      <c r="BA18" s="228" t="e">
        <f>AVERAGEA(BA5:BA12)</f>
        <v>#DIV/0!</v>
      </c>
      <c r="BC18" s="112"/>
      <c r="BD18" s="112"/>
    </row>
    <row r="19" spans="1:56" ht="30" customHeight="1" thickTop="1" thickBot="1">
      <c r="A19" s="412" t="s">
        <v>192</v>
      </c>
      <c r="B19" s="413" t="e">
        <f>B18/P18</f>
        <v>#DIV/0!</v>
      </c>
      <c r="C19" s="413" t="e">
        <f>C18/P18</f>
        <v>#DIV/0!</v>
      </c>
      <c r="D19" s="413" t="e">
        <f>D18/P18</f>
        <v>#DIV/0!</v>
      </c>
      <c r="E19" s="413" t="e">
        <f>E18/P18</f>
        <v>#DIV/0!</v>
      </c>
      <c r="F19" s="413"/>
      <c r="G19" s="413" t="e">
        <f>G18/P18</f>
        <v>#DIV/0!</v>
      </c>
      <c r="H19" s="413" t="e">
        <f>H18/P18</f>
        <v>#DIV/0!</v>
      </c>
      <c r="I19" s="413"/>
      <c r="J19" s="413" t="e">
        <f>J18/P18</f>
        <v>#DIV/0!</v>
      </c>
      <c r="K19" s="413" t="e">
        <f>K18/P18</f>
        <v>#DIV/0!</v>
      </c>
      <c r="L19" s="413" t="e">
        <f>L18/P18</f>
        <v>#DIV/0!</v>
      </c>
      <c r="M19" s="414"/>
      <c r="N19" s="414"/>
      <c r="O19" s="415"/>
      <c r="P19" s="416" t="e">
        <f>SUM(B19:O19)</f>
        <v>#DIV/0!</v>
      </c>
      <c r="BC19" s="112"/>
      <c r="BD19" s="112"/>
    </row>
    <row r="20" spans="1:56" ht="14.25" customHeight="1" thickTop="1">
      <c r="A20" s="897" t="s">
        <v>59</v>
      </c>
      <c r="B20" s="871" t="s">
        <v>116</v>
      </c>
      <c r="C20" s="872"/>
      <c r="D20" s="872"/>
      <c r="E20" s="872"/>
      <c r="F20" s="872"/>
      <c r="G20" s="872"/>
      <c r="H20" s="872"/>
      <c r="I20" s="872"/>
      <c r="J20" s="872"/>
      <c r="K20" s="872"/>
      <c r="L20" s="872"/>
      <c r="M20" s="872"/>
      <c r="N20" s="872"/>
      <c r="O20" s="872"/>
      <c r="P20" s="872"/>
      <c r="Q20" s="873"/>
      <c r="R20" s="873"/>
      <c r="S20" s="873"/>
      <c r="T20" s="873"/>
      <c r="U20" s="873"/>
      <c r="V20" s="873"/>
      <c r="W20" s="873"/>
      <c r="X20" s="873"/>
      <c r="Y20" s="873"/>
      <c r="Z20" s="873"/>
      <c r="AA20" s="873"/>
      <c r="AB20" s="873"/>
      <c r="AC20" s="873"/>
      <c r="AD20" s="873"/>
      <c r="AE20" s="873"/>
      <c r="AF20" s="873"/>
      <c r="AG20" s="873"/>
      <c r="AH20" s="873"/>
      <c r="AI20" s="873"/>
      <c r="AJ20" s="873"/>
      <c r="AK20" s="873"/>
      <c r="AL20" s="873"/>
      <c r="AM20" s="873"/>
      <c r="AN20" s="873"/>
      <c r="AO20" s="873"/>
      <c r="AP20" s="873"/>
      <c r="AQ20" s="873"/>
      <c r="AR20" s="873"/>
      <c r="AS20" s="873"/>
      <c r="AT20" s="873"/>
      <c r="AU20" s="873"/>
      <c r="AV20" s="873"/>
      <c r="AW20" s="873"/>
      <c r="AX20" s="873"/>
      <c r="AY20" s="873"/>
      <c r="AZ20" s="873"/>
      <c r="BA20" s="874"/>
    </row>
    <row r="21" spans="1:56" ht="13.5" customHeight="1">
      <c r="A21" s="897"/>
      <c r="B21" s="871"/>
      <c r="C21" s="872"/>
      <c r="D21" s="872"/>
      <c r="E21" s="872"/>
      <c r="F21" s="872"/>
      <c r="G21" s="872"/>
      <c r="H21" s="872"/>
      <c r="I21" s="872"/>
      <c r="J21" s="872"/>
      <c r="K21" s="872"/>
      <c r="L21" s="872"/>
      <c r="M21" s="872"/>
      <c r="N21" s="872"/>
      <c r="O21" s="872"/>
      <c r="P21" s="872"/>
      <c r="Q21" s="872"/>
      <c r="R21" s="872"/>
      <c r="S21" s="872"/>
      <c r="T21" s="872"/>
      <c r="U21" s="872"/>
      <c r="V21" s="872"/>
      <c r="W21" s="872"/>
      <c r="X21" s="872"/>
      <c r="Y21" s="872"/>
      <c r="Z21" s="872"/>
      <c r="AA21" s="872"/>
      <c r="AB21" s="872"/>
      <c r="AC21" s="872"/>
      <c r="AD21" s="872"/>
      <c r="AE21" s="872"/>
      <c r="AF21" s="872"/>
      <c r="AG21" s="872"/>
      <c r="AH21" s="872"/>
      <c r="AI21" s="872"/>
      <c r="AJ21" s="872"/>
      <c r="AK21" s="872"/>
      <c r="AL21" s="872"/>
      <c r="AM21" s="872"/>
      <c r="AN21" s="872"/>
      <c r="AO21" s="872"/>
      <c r="AP21" s="872"/>
      <c r="AQ21" s="872"/>
      <c r="AR21" s="872"/>
      <c r="AS21" s="872"/>
      <c r="AT21" s="872"/>
      <c r="AU21" s="872"/>
      <c r="AV21" s="872"/>
      <c r="AW21" s="872"/>
      <c r="AX21" s="872"/>
      <c r="AY21" s="872"/>
      <c r="AZ21" s="872"/>
      <c r="BA21" s="875"/>
    </row>
    <row r="22" spans="1:56" ht="14.25" customHeight="1" thickBot="1">
      <c r="A22" s="898"/>
      <c r="B22" s="876"/>
      <c r="C22" s="877"/>
      <c r="D22" s="877"/>
      <c r="E22" s="877"/>
      <c r="F22" s="877"/>
      <c r="G22" s="877"/>
      <c r="H22" s="877"/>
      <c r="I22" s="877"/>
      <c r="J22" s="877"/>
      <c r="K22" s="877"/>
      <c r="L22" s="877"/>
      <c r="M22" s="877"/>
      <c r="N22" s="877"/>
      <c r="O22" s="877"/>
      <c r="P22" s="877"/>
      <c r="Q22" s="877"/>
      <c r="R22" s="877"/>
      <c r="S22" s="877"/>
      <c r="T22" s="877"/>
      <c r="U22" s="877"/>
      <c r="V22" s="877"/>
      <c r="W22" s="877"/>
      <c r="X22" s="877"/>
      <c r="Y22" s="877"/>
      <c r="Z22" s="877"/>
      <c r="AA22" s="877"/>
      <c r="AB22" s="877"/>
      <c r="AC22" s="877"/>
      <c r="AD22" s="877"/>
      <c r="AE22" s="877"/>
      <c r="AF22" s="877"/>
      <c r="AG22" s="877"/>
      <c r="AH22" s="877"/>
      <c r="AI22" s="877"/>
      <c r="AJ22" s="877"/>
      <c r="AK22" s="877"/>
      <c r="AL22" s="877"/>
      <c r="AM22" s="877"/>
      <c r="AN22" s="877"/>
      <c r="AO22" s="877"/>
      <c r="AP22" s="877"/>
      <c r="AQ22" s="877"/>
      <c r="AR22" s="877"/>
      <c r="AS22" s="877"/>
      <c r="AT22" s="877"/>
      <c r="AU22" s="877"/>
      <c r="AV22" s="877"/>
      <c r="AW22" s="877"/>
      <c r="AX22" s="877"/>
      <c r="AY22" s="877"/>
      <c r="AZ22" s="877"/>
      <c r="BA22" s="878"/>
    </row>
    <row r="23" spans="1:56" ht="15" thickTop="1" thickBot="1"/>
    <row r="24" spans="1:56" ht="14.25" thickTop="1">
      <c r="A24" s="859" t="s">
        <v>263</v>
      </c>
      <c r="B24" s="860"/>
      <c r="C24" s="860"/>
      <c r="D24" s="860"/>
      <c r="E24" s="860"/>
      <c r="F24" s="860"/>
      <c r="G24" s="860"/>
      <c r="H24" s="861"/>
    </row>
    <row r="25" spans="1:56">
      <c r="A25" s="862"/>
      <c r="B25" s="863"/>
      <c r="C25" s="863"/>
      <c r="D25" s="863"/>
      <c r="E25" s="863"/>
      <c r="F25" s="863"/>
      <c r="G25" s="863"/>
      <c r="H25" s="864"/>
    </row>
    <row r="26" spans="1:56" ht="37.5">
      <c r="A26" s="837" t="s">
        <v>79</v>
      </c>
      <c r="B26" s="838"/>
      <c r="C26" s="122" t="s">
        <v>55</v>
      </c>
      <c r="D26" s="122" t="s">
        <v>115</v>
      </c>
      <c r="E26" s="121" t="s">
        <v>117</v>
      </c>
      <c r="F26" s="109" t="s">
        <v>70</v>
      </c>
      <c r="G26" s="865" t="s">
        <v>17</v>
      </c>
      <c r="H26" s="866"/>
    </row>
    <row r="27" spans="1:56" ht="32.1" customHeight="1">
      <c r="A27" s="837" t="s">
        <v>45</v>
      </c>
      <c r="B27" s="838"/>
      <c r="C27" s="110">
        <f>AF4</f>
        <v>13426.620000000003</v>
      </c>
      <c r="D27" s="110">
        <v>854</v>
      </c>
      <c r="E27" s="110">
        <f>AT4</f>
        <v>6884</v>
      </c>
      <c r="F27" s="111">
        <v>5642</v>
      </c>
      <c r="G27" s="839">
        <f>F27+E27+D27+C27</f>
        <v>26806.620000000003</v>
      </c>
      <c r="H27" s="840"/>
    </row>
    <row r="28" spans="1:56" ht="32.1" customHeight="1">
      <c r="A28" s="847" t="s">
        <v>118</v>
      </c>
      <c r="B28" s="848"/>
      <c r="C28" s="912">
        <v>3019</v>
      </c>
      <c r="D28" s="913"/>
      <c r="E28" s="913"/>
      <c r="F28" s="913"/>
      <c r="G28" s="916"/>
      <c r="H28" s="917"/>
    </row>
    <row r="29" spans="1:56" ht="32.1" customHeight="1">
      <c r="A29" s="920" t="s">
        <v>119</v>
      </c>
      <c r="B29" s="921"/>
      <c r="C29" s="914"/>
      <c r="D29" s="915"/>
      <c r="E29" s="915"/>
      <c r="F29" s="915"/>
      <c r="G29" s="918"/>
      <c r="H29" s="919"/>
    </row>
    <row r="30" spans="1:56" ht="32.1" customHeight="1">
      <c r="A30" s="849" t="s">
        <v>74</v>
      </c>
      <c r="B30" s="850"/>
      <c r="C30" s="853">
        <f>C27*C28</f>
        <v>40534965.780000009</v>
      </c>
      <c r="D30" s="853">
        <f>D27*C28</f>
        <v>2578226</v>
      </c>
      <c r="E30" s="853">
        <f>E27*C28</f>
        <v>20782796</v>
      </c>
      <c r="F30" s="841">
        <f>F27*C28</f>
        <v>17033198</v>
      </c>
      <c r="G30" s="843">
        <f>F30+E30+D30+C30</f>
        <v>80929185.780000001</v>
      </c>
      <c r="H30" s="844"/>
    </row>
    <row r="31" spans="1:56" ht="6" customHeight="1" thickBot="1">
      <c r="A31" s="851"/>
      <c r="B31" s="852"/>
      <c r="C31" s="854"/>
      <c r="D31" s="854"/>
      <c r="E31" s="854"/>
      <c r="F31" s="842"/>
      <c r="G31" s="845"/>
      <c r="H31" s="846"/>
    </row>
    <row r="32" spans="1:56" ht="15" thickTop="1" thickBot="1">
      <c r="G32" s="68"/>
      <c r="H32" s="68"/>
    </row>
    <row r="33" spans="1:8" ht="14.25" thickTop="1">
      <c r="A33" s="859" t="s">
        <v>264</v>
      </c>
      <c r="B33" s="860"/>
      <c r="C33" s="860"/>
      <c r="D33" s="860"/>
      <c r="E33" s="860"/>
      <c r="F33" s="860"/>
      <c r="G33" s="860"/>
      <c r="H33" s="861"/>
    </row>
    <row r="34" spans="1:8">
      <c r="A34" s="862"/>
      <c r="B34" s="863"/>
      <c r="C34" s="863"/>
      <c r="D34" s="863"/>
      <c r="E34" s="863"/>
      <c r="F34" s="863"/>
      <c r="G34" s="863"/>
      <c r="H34" s="864"/>
    </row>
    <row r="35" spans="1:8" ht="47.25" customHeight="1">
      <c r="A35" s="837" t="s">
        <v>79</v>
      </c>
      <c r="B35" s="838"/>
      <c r="C35" s="122" t="s">
        <v>55</v>
      </c>
      <c r="D35" s="122" t="s">
        <v>180</v>
      </c>
      <c r="E35" s="121" t="s">
        <v>117</v>
      </c>
      <c r="F35" s="109" t="s">
        <v>70</v>
      </c>
      <c r="G35" s="865" t="s">
        <v>17</v>
      </c>
      <c r="H35" s="866"/>
    </row>
    <row r="36" spans="1:8" ht="32.1" customHeight="1">
      <c r="A36" s="837" t="s">
        <v>45</v>
      </c>
      <c r="B36" s="838"/>
      <c r="C36" s="110">
        <f>AF17</f>
        <v>0</v>
      </c>
      <c r="D36" s="110">
        <f>L17</f>
        <v>0</v>
      </c>
      <c r="E36" s="110">
        <f>AT17</f>
        <v>0</v>
      </c>
      <c r="F36" s="111"/>
      <c r="G36" s="839">
        <f>F36+E36+D36+C36</f>
        <v>0</v>
      </c>
      <c r="H36" s="840"/>
    </row>
    <row r="37" spans="1:8" ht="32.1" customHeight="1">
      <c r="A37" s="847" t="s">
        <v>118</v>
      </c>
      <c r="B37" s="848"/>
      <c r="C37" s="912">
        <v>3019</v>
      </c>
      <c r="D37" s="913"/>
      <c r="E37" s="913"/>
      <c r="F37" s="913"/>
      <c r="G37" s="916"/>
      <c r="H37" s="917"/>
    </row>
    <row r="38" spans="1:8" ht="32.1" customHeight="1">
      <c r="A38" s="920" t="s">
        <v>119</v>
      </c>
      <c r="B38" s="921"/>
      <c r="C38" s="914"/>
      <c r="D38" s="915"/>
      <c r="E38" s="915"/>
      <c r="F38" s="915"/>
      <c r="G38" s="918"/>
      <c r="H38" s="919"/>
    </row>
    <row r="39" spans="1:8" ht="32.1" customHeight="1">
      <c r="A39" s="849" t="s">
        <v>74</v>
      </c>
      <c r="B39" s="850"/>
      <c r="C39" s="853">
        <f>C36*C37</f>
        <v>0</v>
      </c>
      <c r="D39" s="853">
        <f>D36*C37</f>
        <v>0</v>
      </c>
      <c r="E39" s="853">
        <f>E36*C37</f>
        <v>0</v>
      </c>
      <c r="F39" s="841">
        <f>F36*C37</f>
        <v>0</v>
      </c>
      <c r="G39" s="843">
        <f>F39+E39+D39+C39</f>
        <v>0</v>
      </c>
      <c r="H39" s="844"/>
    </row>
    <row r="40" spans="1:8" ht="6" customHeight="1" thickBot="1">
      <c r="A40" s="851"/>
      <c r="B40" s="852"/>
      <c r="C40" s="854"/>
      <c r="D40" s="854"/>
      <c r="E40" s="854"/>
      <c r="F40" s="842"/>
      <c r="G40" s="845"/>
      <c r="H40" s="846"/>
    </row>
    <row r="41" spans="1:8" ht="14.25" thickTop="1"/>
    <row r="46" spans="1:8" ht="14.25" thickBot="1"/>
    <row r="47" spans="1:8" ht="17.25" thickTop="1">
      <c r="A47" s="938" t="s">
        <v>81</v>
      </c>
      <c r="B47" s="939"/>
      <c r="C47" s="939"/>
      <c r="D47" s="939"/>
      <c r="E47" s="939"/>
      <c r="F47" s="940"/>
    </row>
    <row r="48" spans="1:8">
      <c r="A48" s="73" t="s">
        <v>82</v>
      </c>
      <c r="B48" s="69" t="s">
        <v>83</v>
      </c>
      <c r="C48" s="69" t="s">
        <v>84</v>
      </c>
      <c r="D48" s="69" t="s">
        <v>85</v>
      </c>
      <c r="E48" s="69" t="s">
        <v>86</v>
      </c>
      <c r="F48" s="74" t="s">
        <v>87</v>
      </c>
    </row>
    <row r="49" spans="1:6">
      <c r="A49" s="73" t="s">
        <v>88</v>
      </c>
      <c r="B49" s="70" t="s">
        <v>89</v>
      </c>
      <c r="C49" s="69" t="s">
        <v>90</v>
      </c>
      <c r="D49" s="69" t="s">
        <v>91</v>
      </c>
      <c r="E49" s="69" t="s">
        <v>92</v>
      </c>
      <c r="F49" s="74"/>
    </row>
    <row r="50" spans="1:6">
      <c r="A50" s="73" t="s">
        <v>93</v>
      </c>
      <c r="B50" s="69" t="s">
        <v>94</v>
      </c>
      <c r="C50" s="69">
        <v>2</v>
      </c>
      <c r="D50" s="69">
        <v>1</v>
      </c>
      <c r="E50" s="69" t="s">
        <v>95</v>
      </c>
      <c r="F50" s="74"/>
    </row>
    <row r="51" spans="1:6">
      <c r="A51" s="73" t="s">
        <v>96</v>
      </c>
      <c r="B51" s="941" t="s">
        <v>97</v>
      </c>
      <c r="C51" s="69">
        <v>4</v>
      </c>
      <c r="D51" s="69">
        <v>2</v>
      </c>
      <c r="E51" s="69" t="s">
        <v>98</v>
      </c>
      <c r="F51" s="75"/>
    </row>
    <row r="52" spans="1:6">
      <c r="A52" s="73" t="s">
        <v>99</v>
      </c>
      <c r="B52" s="941"/>
      <c r="C52" s="69">
        <v>6</v>
      </c>
      <c r="D52" s="71">
        <v>3.1560000000000001</v>
      </c>
      <c r="E52" s="69" t="s">
        <v>100</v>
      </c>
      <c r="F52" s="75"/>
    </row>
    <row r="53" spans="1:6">
      <c r="A53" s="73" t="s">
        <v>101</v>
      </c>
      <c r="B53" s="70" t="s">
        <v>89</v>
      </c>
      <c r="C53" s="72">
        <v>2220</v>
      </c>
      <c r="D53" s="72">
        <v>258.79200000000003</v>
      </c>
      <c r="E53" s="72">
        <v>540</v>
      </c>
      <c r="F53" s="78">
        <v>3018.7919999999999</v>
      </c>
    </row>
    <row r="54" spans="1:6" ht="41.25" thickBot="1">
      <c r="A54" s="76" t="s">
        <v>87</v>
      </c>
      <c r="B54" s="77" t="s">
        <v>103</v>
      </c>
      <c r="C54" s="77" t="s">
        <v>104</v>
      </c>
      <c r="D54" s="77" t="s">
        <v>105</v>
      </c>
      <c r="E54" s="77" t="s">
        <v>102</v>
      </c>
      <c r="F54" s="79" t="s">
        <v>106</v>
      </c>
    </row>
    <row r="55" spans="1:6" ht="14.25" thickTop="1"/>
  </sheetData>
  <mergeCells count="70">
    <mergeCell ref="AY2:AY3"/>
    <mergeCell ref="A47:F47"/>
    <mergeCell ref="B51:B52"/>
    <mergeCell ref="A33:H34"/>
    <mergeCell ref="A35:B35"/>
    <mergeCell ref="G35:H35"/>
    <mergeCell ref="A36:B36"/>
    <mergeCell ref="G36:H36"/>
    <mergeCell ref="A37:B37"/>
    <mergeCell ref="C37:F38"/>
    <mergeCell ref="G37:H38"/>
    <mergeCell ref="A38:B38"/>
    <mergeCell ref="A39:B40"/>
    <mergeCell ref="C39:C40"/>
    <mergeCell ref="D39:D40"/>
    <mergeCell ref="E39:E40"/>
    <mergeCell ref="F39:F40"/>
    <mergeCell ref="G39:H40"/>
    <mergeCell ref="AZ2:AZ3"/>
    <mergeCell ref="A1:BA1"/>
    <mergeCell ref="AX2:AX3"/>
    <mergeCell ref="BA2:BA3"/>
    <mergeCell ref="C28:F29"/>
    <mergeCell ref="G28:H29"/>
    <mergeCell ref="A29:B29"/>
    <mergeCell ref="Q2:Q3"/>
    <mergeCell ref="AT16:AU16"/>
    <mergeCell ref="AL2:AL3"/>
    <mergeCell ref="AS2:AS3"/>
    <mergeCell ref="AR2:AR3"/>
    <mergeCell ref="AQ2:AQ3"/>
    <mergeCell ref="AM2:AM3"/>
    <mergeCell ref="AN2:AN3"/>
    <mergeCell ref="AP2:AP3"/>
    <mergeCell ref="AK2:AK3"/>
    <mergeCell ref="AO2:AO3"/>
    <mergeCell ref="A20:A22"/>
    <mergeCell ref="A2:A3"/>
    <mergeCell ref="P2:P3"/>
    <mergeCell ref="AF2:AF3"/>
    <mergeCell ref="AT17:AU17"/>
    <mergeCell ref="AT2:AU3"/>
    <mergeCell ref="AT4:AU4"/>
    <mergeCell ref="AT6:AU6"/>
    <mergeCell ref="AV2:AV3"/>
    <mergeCell ref="AW2:AW3"/>
    <mergeCell ref="AT5:AU5"/>
    <mergeCell ref="A24:H25"/>
    <mergeCell ref="A26:B26"/>
    <mergeCell ref="G26:H26"/>
    <mergeCell ref="AT7:AU7"/>
    <mergeCell ref="AT8:AU8"/>
    <mergeCell ref="AT9:AU9"/>
    <mergeCell ref="AT10:AU10"/>
    <mergeCell ref="AT11:AU11"/>
    <mergeCell ref="AT18:AU18"/>
    <mergeCell ref="B20:BA22"/>
    <mergeCell ref="AT12:AU12"/>
    <mergeCell ref="AT13:AU13"/>
    <mergeCell ref="AT14:AU14"/>
    <mergeCell ref="AT15:AU15"/>
    <mergeCell ref="A27:B27"/>
    <mergeCell ref="G27:H27"/>
    <mergeCell ref="F30:F31"/>
    <mergeCell ref="G30:H31"/>
    <mergeCell ref="A28:B28"/>
    <mergeCell ref="A30:B31"/>
    <mergeCell ref="C30:C31"/>
    <mergeCell ref="D30:D31"/>
    <mergeCell ref="E30:E31"/>
  </mergeCells>
  <phoneticPr fontId="4" type="noConversion"/>
  <printOptions horizontalCentered="1"/>
  <pageMargins left="0.11811023622047245" right="0.11811023622047245" top="0.39370078740157483" bottom="0.35433070866141736" header="0" footer="0"/>
  <pageSetup paperSize="8" scale="65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X52"/>
  <sheetViews>
    <sheetView zoomScale="85" zoomScaleNormal="85" workbookViewId="0">
      <selection activeCell="R3" sqref="R3"/>
    </sheetView>
  </sheetViews>
  <sheetFormatPr defaultRowHeight="20.100000000000001" customHeight="1"/>
  <cols>
    <col min="1" max="1" style="184" width="8.88671875" collapsed="true"/>
    <col min="2" max="2" customWidth="true" style="184" width="5.33203125" collapsed="true"/>
    <col min="3" max="3" bestFit="true" customWidth="true" style="184" width="19.5546875" collapsed="true"/>
    <col min="4" max="4" customWidth="true" style="184" width="10.5546875" collapsed="true"/>
    <col min="5" max="7" style="184" width="8.88671875" collapsed="true"/>
    <col min="8" max="9" customWidth="true" style="184" width="10.5546875" collapsed="true"/>
    <col min="10" max="11" style="184" width="8.88671875" collapsed="true"/>
    <col min="12" max="12" customWidth="true" style="184" width="11.0" collapsed="true"/>
    <col min="13" max="16384" style="184" width="8.88671875" collapsed="true"/>
  </cols>
  <sheetData>
    <row r="2" spans="2:22" ht="24.95" customHeight="1">
      <c r="B2" s="954" t="s">
        <v>142</v>
      </c>
      <c r="C2" s="954"/>
      <c r="D2" s="954"/>
      <c r="E2" s="954"/>
      <c r="F2" s="954"/>
      <c r="G2" s="954"/>
      <c r="H2" s="954"/>
      <c r="I2" s="954"/>
      <c r="J2" s="954"/>
      <c r="L2" s="955" t="s">
        <v>147</v>
      </c>
      <c r="M2" s="955"/>
      <c r="N2" s="955"/>
      <c r="O2" s="955"/>
      <c r="P2" s="955"/>
      <c r="Q2" s="955"/>
    </row>
    <row r="3" spans="2:22" ht="24.95" customHeight="1">
      <c r="B3" s="952" t="s">
        <v>2</v>
      </c>
      <c r="C3" s="953"/>
      <c r="D3" s="183" t="s">
        <v>255</v>
      </c>
      <c r="E3" s="183" t="s">
        <v>256</v>
      </c>
      <c r="F3" s="183" t="s">
        <v>257</v>
      </c>
      <c r="G3" s="183" t="s">
        <v>258</v>
      </c>
      <c r="H3" s="183" t="s">
        <v>259</v>
      </c>
      <c r="I3" s="199" t="s">
        <v>260</v>
      </c>
      <c r="J3" s="200" t="s">
        <v>149</v>
      </c>
      <c r="L3" s="183" t="s">
        <v>146</v>
      </c>
      <c r="M3" s="183" t="s">
        <v>255</v>
      </c>
      <c r="N3" s="183" t="s">
        <v>256</v>
      </c>
      <c r="O3" s="183" t="s">
        <v>257</v>
      </c>
      <c r="P3" s="183" t="s">
        <v>258</v>
      </c>
      <c r="Q3" s="183" t="s">
        <v>259</v>
      </c>
      <c r="R3" s="183" t="s">
        <v>260</v>
      </c>
    </row>
    <row r="4" spans="2:22" ht="24.95" customHeight="1">
      <c r="B4" s="183">
        <v>1</v>
      </c>
      <c r="C4" s="182" t="s">
        <v>122</v>
      </c>
      <c r="D4" s="186"/>
      <c r="E4" s="186"/>
      <c r="F4" s="186"/>
      <c r="G4" s="186"/>
      <c r="H4" s="442"/>
      <c r="I4" s="202"/>
      <c r="J4" s="439">
        <f>I4-H4</f>
        <v>0</v>
      </c>
      <c r="L4" s="185" t="s">
        <v>143</v>
      </c>
      <c r="M4" s="195"/>
      <c r="N4" s="195"/>
      <c r="O4" s="195"/>
      <c r="P4" s="195"/>
      <c r="Q4" s="195"/>
      <c r="R4" s="195"/>
    </row>
    <row r="5" spans="2:22" ht="24.95" customHeight="1">
      <c r="B5" s="183">
        <v>2</v>
      </c>
      <c r="C5" s="182" t="s">
        <v>121</v>
      </c>
      <c r="D5" s="186"/>
      <c r="E5" s="186"/>
      <c r="F5" s="186"/>
      <c r="G5" s="186"/>
      <c r="H5" s="442"/>
      <c r="I5" s="202"/>
      <c r="J5" s="439">
        <f t="shared" ref="J5:J34" si="0">I5-H5</f>
        <v>0</v>
      </c>
      <c r="L5" s="196" t="s">
        <v>144</v>
      </c>
      <c r="M5" s="195"/>
      <c r="N5" s="195"/>
      <c r="O5" s="195"/>
      <c r="P5" s="195"/>
      <c r="Q5" s="195"/>
      <c r="R5" s="195"/>
    </row>
    <row r="6" spans="2:22" ht="24.95" customHeight="1">
      <c r="B6" s="183">
        <v>3</v>
      </c>
      <c r="C6" s="182" t="s">
        <v>3</v>
      </c>
      <c r="D6" s="186"/>
      <c r="E6" s="186"/>
      <c r="F6" s="186"/>
      <c r="G6" s="186"/>
      <c r="H6" s="442"/>
      <c r="I6" s="202"/>
      <c r="J6" s="439">
        <f t="shared" si="0"/>
        <v>0</v>
      </c>
      <c r="L6" s="197" t="s">
        <v>145</v>
      </c>
      <c r="M6" s="195"/>
      <c r="N6" s="195"/>
      <c r="O6" s="195"/>
      <c r="P6" s="195"/>
      <c r="Q6" s="195"/>
      <c r="R6" s="195"/>
    </row>
    <row r="7" spans="2:22" ht="24.95" customHeight="1">
      <c r="B7" s="183">
        <v>4</v>
      </c>
      <c r="C7" s="182" t="s">
        <v>134</v>
      </c>
      <c r="D7" s="186"/>
      <c r="E7" s="186"/>
      <c r="F7" s="186"/>
      <c r="G7" s="186"/>
      <c r="H7" s="442"/>
      <c r="I7" s="202"/>
      <c r="J7" s="439">
        <f t="shared" si="0"/>
        <v>0</v>
      </c>
      <c r="L7" s="183" t="s">
        <v>148</v>
      </c>
      <c r="M7" s="195">
        <f>SUM(M4:M6)</f>
        <v>0</v>
      </c>
      <c r="N7" s="195">
        <f t="shared" ref="N7:Q7" si="1">SUM(N4:N6)</f>
        <v>0</v>
      </c>
      <c r="O7" s="195">
        <f t="shared" si="1"/>
        <v>0</v>
      </c>
      <c r="P7" s="195">
        <f t="shared" si="1"/>
        <v>0</v>
      </c>
      <c r="Q7" s="195">
        <f t="shared" si="1"/>
        <v>0</v>
      </c>
      <c r="R7" s="195">
        <f t="shared" ref="R7" si="2">SUM(R4:R6)</f>
        <v>0</v>
      </c>
    </row>
    <row r="8" spans="2:22" ht="24.95" customHeight="1">
      <c r="B8" s="183">
        <v>5</v>
      </c>
      <c r="C8" s="182" t="s">
        <v>136</v>
      </c>
      <c r="D8" s="186"/>
      <c r="E8" s="186"/>
      <c r="F8" s="186"/>
      <c r="G8" s="186"/>
      <c r="H8" s="442"/>
      <c r="I8" s="202"/>
      <c r="J8" s="439">
        <f t="shared" si="0"/>
        <v>0</v>
      </c>
    </row>
    <row r="9" spans="2:22" ht="24.95" customHeight="1">
      <c r="B9" s="183">
        <v>6</v>
      </c>
      <c r="C9" s="182" t="s">
        <v>215</v>
      </c>
      <c r="D9" s="186"/>
      <c r="E9" s="186"/>
      <c r="F9" s="186"/>
      <c r="G9" s="186"/>
      <c r="H9" s="442"/>
      <c r="I9" s="202"/>
      <c r="J9" s="439">
        <f t="shared" si="0"/>
        <v>0</v>
      </c>
      <c r="V9" s="198"/>
    </row>
    <row r="10" spans="2:22" ht="24.95" customHeight="1">
      <c r="B10" s="183">
        <v>7</v>
      </c>
      <c r="C10" s="182" t="s">
        <v>216</v>
      </c>
      <c r="D10" s="186"/>
      <c r="E10" s="186"/>
      <c r="F10" s="186"/>
      <c r="G10" s="186"/>
      <c r="H10" s="442"/>
      <c r="I10" s="202"/>
      <c r="J10" s="439">
        <f t="shared" si="0"/>
        <v>0</v>
      </c>
      <c r="V10" s="198"/>
    </row>
    <row r="11" spans="2:22" ht="24.95" customHeight="1">
      <c r="B11" s="183">
        <v>8</v>
      </c>
      <c r="C11" s="182" t="s">
        <v>110</v>
      </c>
      <c r="D11" s="186"/>
      <c r="E11" s="186"/>
      <c r="F11" s="186"/>
      <c r="G11" s="186"/>
      <c r="H11" s="442"/>
      <c r="I11" s="202"/>
      <c r="J11" s="439">
        <f t="shared" si="0"/>
        <v>0</v>
      </c>
      <c r="U11" s="198"/>
      <c r="V11" s="198"/>
    </row>
    <row r="12" spans="2:22" ht="24.95" customHeight="1">
      <c r="B12" s="183">
        <v>9</v>
      </c>
      <c r="C12" s="182" t="s">
        <v>135</v>
      </c>
      <c r="D12" s="186"/>
      <c r="E12" s="186"/>
      <c r="F12" s="186"/>
      <c r="G12" s="186"/>
      <c r="H12" s="442"/>
      <c r="I12" s="202"/>
      <c r="J12" s="439">
        <f t="shared" si="0"/>
        <v>0</v>
      </c>
      <c r="U12" s="198"/>
      <c r="V12" s="198"/>
    </row>
    <row r="13" spans="2:22" ht="24.95" customHeight="1">
      <c r="B13" s="183">
        <v>10</v>
      </c>
      <c r="C13" s="182" t="s">
        <v>137</v>
      </c>
      <c r="D13" s="186"/>
      <c r="E13" s="186"/>
      <c r="F13" s="186"/>
      <c r="G13" s="186"/>
      <c r="H13" s="442"/>
      <c r="I13" s="202"/>
      <c r="J13" s="439">
        <f t="shared" si="0"/>
        <v>0</v>
      </c>
      <c r="U13" s="198"/>
      <c r="V13" s="198"/>
    </row>
    <row r="14" spans="2:22" ht="24.95" customHeight="1">
      <c r="B14" s="956" t="s">
        <v>130</v>
      </c>
      <c r="C14" s="957"/>
      <c r="D14" s="188">
        <f t="shared" ref="D14:I14" si="3">SUM(D4:D13)</f>
        <v>0</v>
      </c>
      <c r="E14" s="188">
        <f t="shared" si="3"/>
        <v>0</v>
      </c>
      <c r="F14" s="188">
        <f t="shared" si="3"/>
        <v>0</v>
      </c>
      <c r="G14" s="188">
        <f t="shared" si="3"/>
        <v>0</v>
      </c>
      <c r="H14" s="443">
        <f t="shared" si="3"/>
        <v>0</v>
      </c>
      <c r="I14" s="443">
        <f t="shared" si="3"/>
        <v>0</v>
      </c>
      <c r="J14" s="439">
        <f t="shared" si="0"/>
        <v>0</v>
      </c>
    </row>
    <row r="15" spans="2:22" ht="24.95" customHeight="1">
      <c r="B15" s="958" t="s">
        <v>131</v>
      </c>
      <c r="C15" s="959"/>
      <c r="D15" s="192" t="e">
        <f>D14/D35</f>
        <v>#DIV/0!</v>
      </c>
      <c r="E15" s="192" t="e">
        <f t="shared" ref="E15:I15" si="4">E14/E35</f>
        <v>#DIV/0!</v>
      </c>
      <c r="F15" s="192" t="e">
        <f t="shared" si="4"/>
        <v>#DIV/0!</v>
      </c>
      <c r="G15" s="192" t="e">
        <f t="shared" si="4"/>
        <v>#DIV/0!</v>
      </c>
      <c r="H15" s="192" t="e">
        <f t="shared" si="4"/>
        <v>#DIV/0!</v>
      </c>
      <c r="I15" s="192" t="e">
        <f t="shared" si="4"/>
        <v>#DIV/0!</v>
      </c>
      <c r="J15" s="440" t="e">
        <f t="shared" si="0"/>
        <v>#DIV/0!</v>
      </c>
    </row>
    <row r="16" spans="2:22" ht="24.95" customHeight="1">
      <c r="B16" s="183">
        <v>11</v>
      </c>
      <c r="C16" s="182" t="s">
        <v>123</v>
      </c>
      <c r="D16" s="186"/>
      <c r="E16" s="186"/>
      <c r="F16" s="186"/>
      <c r="G16" s="186"/>
      <c r="H16" s="442"/>
      <c r="I16" s="202"/>
      <c r="J16" s="439">
        <f t="shared" si="0"/>
        <v>0</v>
      </c>
      <c r="L16" s="187"/>
    </row>
    <row r="17" spans="2:24" ht="24.95" customHeight="1">
      <c r="B17" s="183">
        <v>12</v>
      </c>
      <c r="C17" s="182" t="s">
        <v>124</v>
      </c>
      <c r="D17" s="186"/>
      <c r="E17" s="186"/>
      <c r="F17" s="186"/>
      <c r="G17" s="186"/>
      <c r="H17" s="442"/>
      <c r="I17" s="202"/>
      <c r="J17" s="439">
        <f t="shared" si="0"/>
        <v>0</v>
      </c>
    </row>
    <row r="18" spans="2:24" ht="24.95" customHeight="1">
      <c r="B18" s="183">
        <v>13</v>
      </c>
      <c r="C18" s="182" t="s">
        <v>125</v>
      </c>
      <c r="D18" s="186"/>
      <c r="E18" s="186"/>
      <c r="F18" s="186"/>
      <c r="G18" s="186"/>
      <c r="H18" s="442"/>
      <c r="I18" s="202"/>
      <c r="J18" s="439">
        <f t="shared" si="0"/>
        <v>0</v>
      </c>
    </row>
    <row r="19" spans="2:24" ht="24.95" customHeight="1">
      <c r="B19" s="183">
        <v>14</v>
      </c>
      <c r="C19" s="182" t="s">
        <v>126</v>
      </c>
      <c r="D19" s="186"/>
      <c r="E19" s="186"/>
      <c r="F19" s="186"/>
      <c r="G19" s="186"/>
      <c r="H19" s="442"/>
      <c r="I19" s="202"/>
      <c r="J19" s="439">
        <f t="shared" si="0"/>
        <v>0</v>
      </c>
    </row>
    <row r="20" spans="2:24" ht="24.95" customHeight="1">
      <c r="B20" s="183">
        <v>15</v>
      </c>
      <c r="C20" s="182" t="s">
        <v>127</v>
      </c>
      <c r="D20" s="186"/>
      <c r="E20" s="186"/>
      <c r="F20" s="186"/>
      <c r="G20" s="186"/>
      <c r="H20" s="442"/>
      <c r="I20" s="202"/>
      <c r="J20" s="439">
        <f t="shared" si="0"/>
        <v>0</v>
      </c>
    </row>
    <row r="21" spans="2:24" ht="24.95" customHeight="1">
      <c r="B21" s="183">
        <v>16</v>
      </c>
      <c r="C21" s="182" t="s">
        <v>128</v>
      </c>
      <c r="D21" s="186"/>
      <c r="E21" s="186"/>
      <c r="F21" s="186"/>
      <c r="G21" s="186"/>
      <c r="H21" s="442"/>
      <c r="I21" s="202"/>
      <c r="J21" s="439">
        <f t="shared" si="0"/>
        <v>0</v>
      </c>
    </row>
    <row r="22" spans="2:24" ht="24.95" customHeight="1">
      <c r="B22" s="183">
        <v>17</v>
      </c>
      <c r="C22" s="182" t="s">
        <v>129</v>
      </c>
      <c r="D22" s="186"/>
      <c r="E22" s="186"/>
      <c r="F22" s="186"/>
      <c r="G22" s="186"/>
      <c r="H22" s="442"/>
      <c r="I22" s="202"/>
      <c r="J22" s="439">
        <f t="shared" si="0"/>
        <v>0</v>
      </c>
      <c r="V22" s="198"/>
      <c r="W22" s="198"/>
    </row>
    <row r="23" spans="2:24" ht="24.95" customHeight="1">
      <c r="B23" s="183">
        <v>18</v>
      </c>
      <c r="C23" s="182" t="s">
        <v>31</v>
      </c>
      <c r="D23" s="186"/>
      <c r="E23" s="186"/>
      <c r="F23" s="186"/>
      <c r="G23" s="186"/>
      <c r="H23" s="442"/>
      <c r="I23" s="202"/>
      <c r="J23" s="439">
        <f t="shared" si="0"/>
        <v>0</v>
      </c>
      <c r="S23" s="198"/>
      <c r="T23" s="198"/>
      <c r="U23" s="198"/>
      <c r="V23" s="198"/>
      <c r="W23" s="198"/>
      <c r="X23" s="198"/>
    </row>
    <row r="24" spans="2:24" ht="24.95" customHeight="1">
      <c r="B24" s="942" t="s">
        <v>132</v>
      </c>
      <c r="C24" s="943"/>
      <c r="D24" s="189">
        <f t="shared" ref="D24:I24" si="5">SUM(D16:D23)</f>
        <v>0</v>
      </c>
      <c r="E24" s="189">
        <f t="shared" si="5"/>
        <v>0</v>
      </c>
      <c r="F24" s="189">
        <f t="shared" si="5"/>
        <v>0</v>
      </c>
      <c r="G24" s="189">
        <f t="shared" si="5"/>
        <v>0</v>
      </c>
      <c r="H24" s="201">
        <f t="shared" si="5"/>
        <v>0</v>
      </c>
      <c r="I24" s="201">
        <f t="shared" si="5"/>
        <v>0</v>
      </c>
      <c r="J24" s="439">
        <f t="shared" si="0"/>
        <v>0</v>
      </c>
    </row>
    <row r="25" spans="2:24" ht="24.95" customHeight="1">
      <c r="B25" s="950" t="s">
        <v>139</v>
      </c>
      <c r="C25" s="951"/>
      <c r="D25" s="193" t="e">
        <f>D24/D35</f>
        <v>#DIV/0!</v>
      </c>
      <c r="E25" s="193" t="e">
        <f t="shared" ref="E25:I25" si="6">E24/E35</f>
        <v>#DIV/0!</v>
      </c>
      <c r="F25" s="193" t="e">
        <f t="shared" si="6"/>
        <v>#DIV/0!</v>
      </c>
      <c r="G25" s="193" t="e">
        <f t="shared" si="6"/>
        <v>#DIV/0!</v>
      </c>
      <c r="H25" s="193" t="e">
        <f t="shared" si="6"/>
        <v>#DIV/0!</v>
      </c>
      <c r="I25" s="193" t="e">
        <f t="shared" si="6"/>
        <v>#DIV/0!</v>
      </c>
      <c r="J25" s="441" t="e">
        <f t="shared" si="0"/>
        <v>#DIV/0!</v>
      </c>
    </row>
    <row r="26" spans="2:24" ht="24.95" customHeight="1">
      <c r="B26" s="183">
        <v>19</v>
      </c>
      <c r="C26" s="182" t="s">
        <v>37</v>
      </c>
      <c r="D26" s="186"/>
      <c r="E26" s="186"/>
      <c r="F26" s="186"/>
      <c r="G26" s="186"/>
      <c r="H26" s="442"/>
      <c r="I26" s="202"/>
      <c r="J26" s="439">
        <f t="shared" si="0"/>
        <v>0</v>
      </c>
    </row>
    <row r="27" spans="2:24" ht="24.95" customHeight="1">
      <c r="B27" s="183">
        <v>20</v>
      </c>
      <c r="C27" s="182" t="s">
        <v>111</v>
      </c>
      <c r="D27" s="186"/>
      <c r="E27" s="186"/>
      <c r="F27" s="186"/>
      <c r="G27" s="186"/>
      <c r="H27" s="442"/>
      <c r="I27" s="202"/>
      <c r="J27" s="439">
        <f t="shared" si="0"/>
        <v>0</v>
      </c>
    </row>
    <row r="28" spans="2:24" ht="24.95" customHeight="1">
      <c r="B28" s="183">
        <v>21</v>
      </c>
      <c r="C28" s="182" t="s">
        <v>138</v>
      </c>
      <c r="D28" s="186"/>
      <c r="E28" s="186"/>
      <c r="F28" s="186"/>
      <c r="G28" s="186"/>
      <c r="H28" s="442"/>
      <c r="I28" s="202"/>
      <c r="J28" s="439">
        <f t="shared" si="0"/>
        <v>0</v>
      </c>
    </row>
    <row r="29" spans="2:24" ht="24.95" customHeight="1">
      <c r="B29" s="183">
        <v>22</v>
      </c>
      <c r="C29" s="182" t="s">
        <v>25</v>
      </c>
      <c r="D29" s="186"/>
      <c r="E29" s="186"/>
      <c r="F29" s="186"/>
      <c r="G29" s="186"/>
      <c r="H29" s="442"/>
      <c r="I29" s="202"/>
      <c r="J29" s="439">
        <f t="shared" si="0"/>
        <v>0</v>
      </c>
    </row>
    <row r="30" spans="2:24" ht="24.95" customHeight="1">
      <c r="B30" s="183">
        <v>23</v>
      </c>
      <c r="C30" s="182" t="s">
        <v>26</v>
      </c>
      <c r="D30" s="186"/>
      <c r="E30" s="186"/>
      <c r="F30" s="186"/>
      <c r="G30" s="186"/>
      <c r="H30" s="442"/>
      <c r="I30" s="202"/>
      <c r="J30" s="439">
        <f t="shared" si="0"/>
        <v>0</v>
      </c>
    </row>
    <row r="31" spans="2:24" ht="24.95" customHeight="1">
      <c r="B31" s="183">
        <v>24</v>
      </c>
      <c r="C31" s="182" t="s">
        <v>109</v>
      </c>
      <c r="D31" s="186"/>
      <c r="E31" s="186"/>
      <c r="F31" s="186"/>
      <c r="G31" s="186"/>
      <c r="H31" s="442"/>
      <c r="I31" s="202"/>
      <c r="J31" s="439">
        <f t="shared" si="0"/>
        <v>0</v>
      </c>
    </row>
    <row r="32" spans="2:24" ht="24.95" customHeight="1">
      <c r="B32" s="183">
        <v>25</v>
      </c>
      <c r="C32" s="182" t="s">
        <v>217</v>
      </c>
      <c r="D32" s="186"/>
      <c r="E32" s="186"/>
      <c r="F32" s="186"/>
      <c r="G32" s="186"/>
      <c r="H32" s="442"/>
      <c r="I32" s="202"/>
      <c r="J32" s="439">
        <f t="shared" si="0"/>
        <v>0</v>
      </c>
      <c r="L32" s="184" t="s">
        <v>188</v>
      </c>
    </row>
    <row r="33" spans="2:10" ht="24.95" customHeight="1">
      <c r="B33" s="944" t="s">
        <v>140</v>
      </c>
      <c r="C33" s="945"/>
      <c r="D33" s="191">
        <f t="shared" ref="D33:I33" si="7">SUM(D26:D32)</f>
        <v>0</v>
      </c>
      <c r="E33" s="191">
        <f t="shared" si="7"/>
        <v>0</v>
      </c>
      <c r="F33" s="191">
        <f t="shared" si="7"/>
        <v>0</v>
      </c>
      <c r="G33" s="191">
        <f t="shared" si="7"/>
        <v>0</v>
      </c>
      <c r="H33" s="202">
        <f t="shared" si="7"/>
        <v>0</v>
      </c>
      <c r="I33" s="202">
        <f t="shared" si="7"/>
        <v>0</v>
      </c>
      <c r="J33" s="439">
        <f t="shared" si="0"/>
        <v>0</v>
      </c>
    </row>
    <row r="34" spans="2:10" ht="24.95" customHeight="1">
      <c r="B34" s="946" t="s">
        <v>141</v>
      </c>
      <c r="C34" s="947"/>
      <c r="D34" s="194" t="e">
        <f>D33/D35</f>
        <v>#DIV/0!</v>
      </c>
      <c r="E34" s="194" t="e">
        <f t="shared" ref="E34:I34" si="8">E33/E35</f>
        <v>#DIV/0!</v>
      </c>
      <c r="F34" s="194" t="e">
        <f t="shared" si="8"/>
        <v>#DIV/0!</v>
      </c>
      <c r="G34" s="194" t="e">
        <f t="shared" si="8"/>
        <v>#DIV/0!</v>
      </c>
      <c r="H34" s="194" t="e">
        <f t="shared" si="8"/>
        <v>#DIV/0!</v>
      </c>
      <c r="I34" s="194" t="e">
        <f t="shared" si="8"/>
        <v>#DIV/0!</v>
      </c>
      <c r="J34" s="441" t="e">
        <f t="shared" si="0"/>
        <v>#DIV/0!</v>
      </c>
    </row>
    <row r="35" spans="2:10" ht="24.95" customHeight="1">
      <c r="B35" s="948" t="s">
        <v>133</v>
      </c>
      <c r="C35" s="949"/>
      <c r="D35" s="190"/>
      <c r="E35" s="190"/>
      <c r="F35" s="190"/>
      <c r="G35" s="190"/>
      <c r="H35" s="190"/>
      <c r="I35" s="190"/>
      <c r="J35" s="439">
        <f>I35-H35</f>
        <v>0</v>
      </c>
    </row>
    <row r="40" spans="2:10" ht="20.100000000000001" customHeight="1">
      <c r="G40" s="204"/>
      <c r="H40" s="203"/>
      <c r="I40" s="203"/>
    </row>
    <row r="41" spans="2:10" ht="20.100000000000001" customHeight="1">
      <c r="G41" s="205"/>
      <c r="H41" s="203"/>
      <c r="I41" s="203"/>
    </row>
    <row r="42" spans="2:10" ht="20.100000000000001" customHeight="1">
      <c r="G42" s="205"/>
      <c r="H42" s="203"/>
      <c r="I42" s="203"/>
    </row>
    <row r="43" spans="2:10" ht="20.100000000000001" customHeight="1">
      <c r="G43" s="205"/>
      <c r="H43" s="203"/>
      <c r="I43" s="203"/>
    </row>
    <row r="44" spans="2:10" ht="20.100000000000001" customHeight="1">
      <c r="G44" s="205"/>
      <c r="H44" s="203"/>
      <c r="I44" s="203"/>
    </row>
    <row r="45" spans="2:10" ht="20.100000000000001" customHeight="1">
      <c r="G45" s="205"/>
      <c r="H45" s="203"/>
      <c r="I45" s="203"/>
    </row>
    <row r="46" spans="2:10" ht="20.100000000000001" customHeight="1">
      <c r="G46" s="205"/>
      <c r="H46" s="203"/>
      <c r="I46" s="203"/>
    </row>
    <row r="47" spans="2:10" ht="20.100000000000001" customHeight="1">
      <c r="G47" s="205"/>
      <c r="H47" s="203"/>
      <c r="I47" s="203"/>
    </row>
    <row r="48" spans="2:10" ht="20.100000000000001" customHeight="1">
      <c r="G48" s="205"/>
      <c r="H48" s="203"/>
      <c r="I48" s="203"/>
    </row>
    <row r="49" spans="7:9" ht="20.100000000000001" customHeight="1">
      <c r="G49" s="205"/>
      <c r="H49" s="203"/>
      <c r="I49" s="203"/>
    </row>
    <row r="50" spans="7:9" ht="20.100000000000001" customHeight="1">
      <c r="G50" s="205"/>
      <c r="H50" s="203"/>
      <c r="I50" s="203"/>
    </row>
    <row r="51" spans="7:9" ht="20.100000000000001" customHeight="1">
      <c r="G51" s="205"/>
      <c r="H51" s="203"/>
      <c r="I51" s="203"/>
    </row>
    <row r="52" spans="7:9" ht="20.100000000000001" customHeight="1">
      <c r="H52" s="203"/>
      <c r="I52" s="203"/>
    </row>
  </sheetData>
  <mergeCells count="10">
    <mergeCell ref="B3:C3"/>
    <mergeCell ref="B2:J2"/>
    <mergeCell ref="L2:Q2"/>
    <mergeCell ref="B14:C14"/>
    <mergeCell ref="B15:C15"/>
    <mergeCell ref="B24:C24"/>
    <mergeCell ref="B33:C33"/>
    <mergeCell ref="B34:C34"/>
    <mergeCell ref="B35:C35"/>
    <mergeCell ref="B25:C25"/>
  </mergeCells>
  <phoneticPr fontId="4" type="noConversion"/>
  <pageMargins left="0.7" right="0.7" top="0.75" bottom="0.75" header="0.3" footer="0.3"/>
  <pageSetup paperSize="9" scale="4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3</vt:i4>
      </vt:variant>
    </vt:vector>
  </HeadingPairs>
  <TitlesOfParts>
    <vt:vector size="9" baseType="lpstr">
      <vt:lpstr>양식</vt:lpstr>
      <vt:lpstr>1월</vt:lpstr>
      <vt:lpstr>2월</vt:lpstr>
      <vt:lpstr>3월</vt:lpstr>
      <vt:lpstr>2026년 폐수반입현황</vt:lpstr>
      <vt:lpstr>20~ 반입현황</vt:lpstr>
      <vt:lpstr>'1월'!Print_Area</vt:lpstr>
      <vt:lpstr>'2월'!Print_Area</vt:lpstr>
      <vt:lpstr>양식!Print_Area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2017-07-04T11:46:45Z</dcterms:created>
  <dc:creator>Owner</dc:creator>
  <lastModifiedBy>User</lastModifiedBy>
  <lastPrinted>2026-02-02T08:34:49Z</lastPrinted>
  <dcterms:modified xsi:type="dcterms:W3CDTF">2026-03-12T00:14:02Z</dcterms:modified>
</coreProperties>
</file>